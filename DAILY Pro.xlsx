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6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8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9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0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1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12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13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e2b580dac8b0b4/Documents(1)/"/>
    </mc:Choice>
  </mc:AlternateContent>
  <xr:revisionPtr revIDLastSave="2004" documentId="8_{D0FEC3AA-CEE5-4F74-B424-F62D935231E3}" xr6:coauthVersionLast="47" xr6:coauthVersionMax="47" xr10:uidLastSave="{93F9029C-8608-4C76-BDA0-C7A333283F21}"/>
  <bookViews>
    <workbookView xWindow="-108" yWindow="-108" windowWidth="23256" windowHeight="12456" firstSheet="1" activeTab="1" xr2:uid="{1FF91BD9-FF8B-4A9B-A043-F9B64397CF0B}"/>
  </bookViews>
  <sheets>
    <sheet name="LINK" sheetId="16" r:id="rId1"/>
    <sheet name="JANUARY" sheetId="6" r:id="rId2"/>
    <sheet name="FEBRUARY(OR)" sheetId="3" r:id="rId3"/>
    <sheet name="MARCH" sheetId="4" r:id="rId4"/>
    <sheet name="APRIL" sheetId="7" r:id="rId5"/>
    <sheet name="MAY" sheetId="8" r:id="rId6"/>
    <sheet name="JUNE" sheetId="9" r:id="rId7"/>
    <sheet name="JULY" sheetId="10" r:id="rId8"/>
    <sheet name="AUGUST" sheetId="11" r:id="rId9"/>
    <sheet name="SEPTEMBER" sheetId="12" r:id="rId10"/>
    <sheet name="OCTOBER" sheetId="13" r:id="rId11"/>
    <sheet name="NOVEMBER" sheetId="14" r:id="rId12"/>
    <sheet name="DECEMBER" sheetId="15" r:id="rId13"/>
    <sheet name="Sheet2" sheetId="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2" l="1"/>
  <c r="T22" i="2"/>
  <c r="T21" i="2"/>
  <c r="AE20" i="15"/>
  <c r="AE20" i="14"/>
  <c r="AE20" i="13"/>
  <c r="AE20" i="12"/>
  <c r="AE20" i="11"/>
  <c r="AE20" i="10"/>
  <c r="AE20" i="9"/>
  <c r="AE20" i="8"/>
  <c r="AE20" i="7"/>
  <c r="AE20" i="4"/>
  <c r="T20" i="2"/>
  <c r="T19" i="2"/>
  <c r="T18" i="2"/>
  <c r="T17" i="2"/>
  <c r="T16" i="2"/>
  <c r="T15" i="2"/>
  <c r="T14" i="2"/>
  <c r="T13" i="2"/>
  <c r="T12" i="2"/>
  <c r="AD4" i="6"/>
  <c r="A13" i="16"/>
  <c r="A12" i="16"/>
  <c r="A11" i="16"/>
  <c r="A10" i="16"/>
  <c r="A9" i="16"/>
  <c r="A8" i="16"/>
  <c r="A7" i="16"/>
  <c r="A6" i="16"/>
  <c r="A5" i="16"/>
  <c r="A4" i="16"/>
  <c r="A3" i="16"/>
  <c r="A2" i="16"/>
  <c r="K18" i="2"/>
  <c r="B3" i="2"/>
  <c r="C22" i="15" s="1"/>
  <c r="C21" i="15"/>
  <c r="G19" i="2"/>
  <c r="G20" i="2"/>
  <c r="C39" i="15"/>
  <c r="AG38" i="15"/>
  <c r="AG39" i="15" s="1"/>
  <c r="AF38" i="15"/>
  <c r="AF39" i="15" s="1"/>
  <c r="AE38" i="15"/>
  <c r="AE39" i="15" s="1"/>
  <c r="AD38" i="15"/>
  <c r="AD39" i="15" s="1"/>
  <c r="AC38" i="15"/>
  <c r="AC39" i="15" s="1"/>
  <c r="AB38" i="15"/>
  <c r="AB39" i="15" s="1"/>
  <c r="AA38" i="15"/>
  <c r="AA39" i="15" s="1"/>
  <c r="Z38" i="15"/>
  <c r="Z39" i="15" s="1"/>
  <c r="Y38" i="15"/>
  <c r="Y39" i="15" s="1"/>
  <c r="X38" i="15"/>
  <c r="X39" i="15" s="1"/>
  <c r="W38" i="15"/>
  <c r="W39" i="15" s="1"/>
  <c r="V38" i="15"/>
  <c r="V39" i="15" s="1"/>
  <c r="U38" i="15"/>
  <c r="U39" i="15" s="1"/>
  <c r="T38" i="15"/>
  <c r="T39" i="15" s="1"/>
  <c r="S38" i="15"/>
  <c r="S39" i="15" s="1"/>
  <c r="R38" i="15"/>
  <c r="R39" i="15" s="1"/>
  <c r="Q38" i="15"/>
  <c r="Q39" i="15" s="1"/>
  <c r="P38" i="15"/>
  <c r="P39" i="15" s="1"/>
  <c r="O38" i="15"/>
  <c r="O39" i="15" s="1"/>
  <c r="N38" i="15"/>
  <c r="N39" i="15" s="1"/>
  <c r="M38" i="15"/>
  <c r="M39" i="15" s="1"/>
  <c r="L38" i="15"/>
  <c r="L39" i="15" s="1"/>
  <c r="K38" i="15"/>
  <c r="K39" i="15" s="1"/>
  <c r="J38" i="15"/>
  <c r="J39" i="15" s="1"/>
  <c r="I38" i="15"/>
  <c r="I39" i="15" s="1"/>
  <c r="H38" i="15"/>
  <c r="H39" i="15" s="1"/>
  <c r="G38" i="15"/>
  <c r="G39" i="15" s="1"/>
  <c r="F38" i="15"/>
  <c r="F39" i="15" s="1"/>
  <c r="E38" i="15"/>
  <c r="E39" i="15" s="1"/>
  <c r="D38" i="15"/>
  <c r="D39" i="15" s="1"/>
  <c r="C38" i="15"/>
  <c r="AH36" i="15"/>
  <c r="AI36" i="15" s="1"/>
  <c r="AH35" i="15"/>
  <c r="AI35" i="15" s="1"/>
  <c r="AH34" i="15"/>
  <c r="AI34" i="15" s="1"/>
  <c r="AH33" i="15"/>
  <c r="AI33" i="15" s="1"/>
  <c r="AH32" i="15"/>
  <c r="AI32" i="15" s="1"/>
  <c r="AH31" i="15"/>
  <c r="AI31" i="15" s="1"/>
  <c r="AH30" i="15"/>
  <c r="AI30" i="15" s="1"/>
  <c r="AH29" i="15"/>
  <c r="AI29" i="15" s="1"/>
  <c r="AH28" i="15"/>
  <c r="AI28" i="15" s="1"/>
  <c r="AH27" i="15"/>
  <c r="AI27" i="15" s="1"/>
  <c r="AH26" i="15"/>
  <c r="AI26" i="15" s="1"/>
  <c r="AH25" i="15"/>
  <c r="AI25" i="15" s="1"/>
  <c r="AH24" i="15"/>
  <c r="C23" i="15" a="1"/>
  <c r="C23" i="15" s="1"/>
  <c r="B17" i="15"/>
  <c r="B15" i="15"/>
  <c r="B13" i="15"/>
  <c r="B11" i="15"/>
  <c r="B9" i="15"/>
  <c r="AI5" i="15"/>
  <c r="AI4" i="15"/>
  <c r="AD4" i="15"/>
  <c r="AD5" i="15" s="1"/>
  <c r="B4" i="15"/>
  <c r="AI3" i="15"/>
  <c r="B4" i="2"/>
  <c r="C39" i="14"/>
  <c r="AG38" i="14"/>
  <c r="AG39" i="14" s="1"/>
  <c r="AF38" i="14"/>
  <c r="AF39" i="14" s="1"/>
  <c r="AE38" i="14"/>
  <c r="AE39" i="14" s="1"/>
  <c r="AD38" i="14"/>
  <c r="AD39" i="14" s="1"/>
  <c r="AC38" i="14"/>
  <c r="AC39" i="14" s="1"/>
  <c r="AB38" i="14"/>
  <c r="AB39" i="14" s="1"/>
  <c r="AA38" i="14"/>
  <c r="AA39" i="14" s="1"/>
  <c r="Z38" i="14"/>
  <c r="Z39" i="14" s="1"/>
  <c r="Y38" i="14"/>
  <c r="Y39" i="14" s="1"/>
  <c r="X38" i="14"/>
  <c r="X39" i="14" s="1"/>
  <c r="W38" i="14"/>
  <c r="W39" i="14" s="1"/>
  <c r="V38" i="14"/>
  <c r="V39" i="14" s="1"/>
  <c r="U38" i="14"/>
  <c r="U39" i="14" s="1"/>
  <c r="T38" i="14"/>
  <c r="T39" i="14" s="1"/>
  <c r="S38" i="14"/>
  <c r="S39" i="14" s="1"/>
  <c r="R38" i="14"/>
  <c r="R39" i="14" s="1"/>
  <c r="Q38" i="14"/>
  <c r="Q39" i="14" s="1"/>
  <c r="P38" i="14"/>
  <c r="P39" i="14" s="1"/>
  <c r="O38" i="14"/>
  <c r="O39" i="14" s="1"/>
  <c r="N38" i="14"/>
  <c r="N39" i="14" s="1"/>
  <c r="M38" i="14"/>
  <c r="M39" i="14" s="1"/>
  <c r="L38" i="14"/>
  <c r="L39" i="14" s="1"/>
  <c r="K38" i="14"/>
  <c r="K39" i="14" s="1"/>
  <c r="J38" i="14"/>
  <c r="J39" i="14" s="1"/>
  <c r="I38" i="14"/>
  <c r="I39" i="14" s="1"/>
  <c r="H38" i="14"/>
  <c r="H39" i="14" s="1"/>
  <c r="G38" i="14"/>
  <c r="G39" i="14" s="1"/>
  <c r="F38" i="14"/>
  <c r="F39" i="14" s="1"/>
  <c r="E38" i="14"/>
  <c r="E39" i="14" s="1"/>
  <c r="D38" i="14"/>
  <c r="D39" i="14" s="1"/>
  <c r="C38" i="14"/>
  <c r="AH36" i="14"/>
  <c r="AI36" i="14" s="1"/>
  <c r="AH35" i="14"/>
  <c r="AI35" i="14" s="1"/>
  <c r="AH34" i="14"/>
  <c r="AI34" i="14" s="1"/>
  <c r="AH33" i="14"/>
  <c r="AI33" i="14" s="1"/>
  <c r="AH32" i="14"/>
  <c r="AI32" i="14" s="1"/>
  <c r="AH31" i="14"/>
  <c r="AI31" i="14" s="1"/>
  <c r="AH30" i="14"/>
  <c r="AI30" i="14" s="1"/>
  <c r="AH29" i="14"/>
  <c r="AI29" i="14" s="1"/>
  <c r="AH28" i="14"/>
  <c r="AI28" i="14" s="1"/>
  <c r="AH27" i="14"/>
  <c r="AI27" i="14" s="1"/>
  <c r="AH26" i="14"/>
  <c r="AI26" i="14" s="1"/>
  <c r="AH25" i="14"/>
  <c r="AI25" i="14" s="1"/>
  <c r="AH24" i="14"/>
  <c r="C23" i="14" a="1"/>
  <c r="C23" i="14" s="1"/>
  <c r="B17" i="14"/>
  <c r="B15" i="14"/>
  <c r="B13" i="14"/>
  <c r="B11" i="14"/>
  <c r="B9" i="14"/>
  <c r="AI5" i="14"/>
  <c r="AI4" i="14"/>
  <c r="AD4" i="14"/>
  <c r="AD5" i="14" s="1"/>
  <c r="B4" i="14"/>
  <c r="AI3" i="14"/>
  <c r="B5" i="2"/>
  <c r="C39" i="13"/>
  <c r="AG38" i="13"/>
  <c r="AG39" i="13" s="1"/>
  <c r="AF38" i="13"/>
  <c r="AF39" i="13" s="1"/>
  <c r="AE38" i="13"/>
  <c r="AE39" i="13" s="1"/>
  <c r="AD38" i="13"/>
  <c r="AD39" i="13" s="1"/>
  <c r="AC38" i="13"/>
  <c r="AC39" i="13" s="1"/>
  <c r="AB38" i="13"/>
  <c r="AB39" i="13" s="1"/>
  <c r="AA38" i="13"/>
  <c r="AA39" i="13" s="1"/>
  <c r="Z38" i="13"/>
  <c r="Z39" i="13" s="1"/>
  <c r="Y38" i="13"/>
  <c r="Y39" i="13" s="1"/>
  <c r="X38" i="13"/>
  <c r="X39" i="13" s="1"/>
  <c r="W38" i="13"/>
  <c r="W39" i="13" s="1"/>
  <c r="V38" i="13"/>
  <c r="V39" i="13" s="1"/>
  <c r="U38" i="13"/>
  <c r="U39" i="13" s="1"/>
  <c r="T38" i="13"/>
  <c r="T39" i="13" s="1"/>
  <c r="S38" i="13"/>
  <c r="S39" i="13" s="1"/>
  <c r="R38" i="13"/>
  <c r="R39" i="13" s="1"/>
  <c r="Q38" i="13"/>
  <c r="Q39" i="13" s="1"/>
  <c r="P38" i="13"/>
  <c r="P39" i="13" s="1"/>
  <c r="O38" i="13"/>
  <c r="O39" i="13" s="1"/>
  <c r="N38" i="13"/>
  <c r="N39" i="13" s="1"/>
  <c r="M38" i="13"/>
  <c r="M39" i="13" s="1"/>
  <c r="L38" i="13"/>
  <c r="L39" i="13" s="1"/>
  <c r="K38" i="13"/>
  <c r="K39" i="13" s="1"/>
  <c r="J38" i="13"/>
  <c r="J39" i="13" s="1"/>
  <c r="I38" i="13"/>
  <c r="I39" i="13" s="1"/>
  <c r="H38" i="13"/>
  <c r="H39" i="13" s="1"/>
  <c r="G38" i="13"/>
  <c r="G39" i="13" s="1"/>
  <c r="F38" i="13"/>
  <c r="F39" i="13" s="1"/>
  <c r="E38" i="13"/>
  <c r="E39" i="13" s="1"/>
  <c r="D38" i="13"/>
  <c r="D39" i="13" s="1"/>
  <c r="C38" i="13"/>
  <c r="AH36" i="13"/>
  <c r="AI36" i="13" s="1"/>
  <c r="AH35" i="13"/>
  <c r="AI35" i="13" s="1"/>
  <c r="AH34" i="13"/>
  <c r="AI34" i="13" s="1"/>
  <c r="AH33" i="13"/>
  <c r="AI33" i="13" s="1"/>
  <c r="AH32" i="13"/>
  <c r="AI32" i="13" s="1"/>
  <c r="AH31" i="13"/>
  <c r="AI31" i="13" s="1"/>
  <c r="AH30" i="13"/>
  <c r="AI30" i="13" s="1"/>
  <c r="AH29" i="13"/>
  <c r="AI29" i="13" s="1"/>
  <c r="AH28" i="13"/>
  <c r="AI28" i="13" s="1"/>
  <c r="AH27" i="13"/>
  <c r="AI27" i="13" s="1"/>
  <c r="AH26" i="13"/>
  <c r="AI26" i="13" s="1"/>
  <c r="AH25" i="13"/>
  <c r="AI25" i="13" s="1"/>
  <c r="AH24" i="13"/>
  <c r="C23" i="13" a="1"/>
  <c r="C23" i="13" s="1"/>
  <c r="B17" i="13"/>
  <c r="B15" i="13"/>
  <c r="B13" i="13"/>
  <c r="B11" i="13"/>
  <c r="B9" i="13"/>
  <c r="AI5" i="13"/>
  <c r="AI4" i="13"/>
  <c r="AD4" i="13"/>
  <c r="AD5" i="13" s="1"/>
  <c r="B4" i="13"/>
  <c r="AI3" i="13"/>
  <c r="B6" i="2"/>
  <c r="C39" i="12"/>
  <c r="AG38" i="12"/>
  <c r="AG39" i="12" s="1"/>
  <c r="AF38" i="12"/>
  <c r="AF39" i="12" s="1"/>
  <c r="AE38" i="12"/>
  <c r="AE39" i="12" s="1"/>
  <c r="AD38" i="12"/>
  <c r="AD39" i="12" s="1"/>
  <c r="AC38" i="12"/>
  <c r="AC39" i="12" s="1"/>
  <c r="AB38" i="12"/>
  <c r="AB39" i="12" s="1"/>
  <c r="AA38" i="12"/>
  <c r="AA39" i="12" s="1"/>
  <c r="Z38" i="12"/>
  <c r="Z39" i="12" s="1"/>
  <c r="Y38" i="12"/>
  <c r="Y39" i="12" s="1"/>
  <c r="X38" i="12"/>
  <c r="X39" i="12" s="1"/>
  <c r="W38" i="12"/>
  <c r="W39" i="12" s="1"/>
  <c r="V38" i="12"/>
  <c r="V39" i="12" s="1"/>
  <c r="U38" i="12"/>
  <c r="U39" i="12" s="1"/>
  <c r="T38" i="12"/>
  <c r="T39" i="12" s="1"/>
  <c r="S38" i="12"/>
  <c r="S39" i="12" s="1"/>
  <c r="R38" i="12"/>
  <c r="R39" i="12" s="1"/>
  <c r="Q38" i="12"/>
  <c r="Q39" i="12" s="1"/>
  <c r="P38" i="12"/>
  <c r="P39" i="12" s="1"/>
  <c r="O38" i="12"/>
  <c r="O39" i="12" s="1"/>
  <c r="N38" i="12"/>
  <c r="N39" i="12" s="1"/>
  <c r="M38" i="12"/>
  <c r="M39" i="12" s="1"/>
  <c r="L38" i="12"/>
  <c r="L39" i="12" s="1"/>
  <c r="K38" i="12"/>
  <c r="K39" i="12" s="1"/>
  <c r="J38" i="12"/>
  <c r="J39" i="12" s="1"/>
  <c r="I38" i="12"/>
  <c r="I39" i="12" s="1"/>
  <c r="H38" i="12"/>
  <c r="H39" i="12" s="1"/>
  <c r="G38" i="12"/>
  <c r="G39" i="12" s="1"/>
  <c r="F38" i="12"/>
  <c r="F39" i="12" s="1"/>
  <c r="E38" i="12"/>
  <c r="E39" i="12" s="1"/>
  <c r="D38" i="12"/>
  <c r="D39" i="12" s="1"/>
  <c r="C38" i="12"/>
  <c r="AH36" i="12"/>
  <c r="AI36" i="12" s="1"/>
  <c r="AH35" i="12"/>
  <c r="AI35" i="12" s="1"/>
  <c r="AH34" i="12"/>
  <c r="AI34" i="12" s="1"/>
  <c r="AH33" i="12"/>
  <c r="AI33" i="12" s="1"/>
  <c r="AH32" i="12"/>
  <c r="AI32" i="12" s="1"/>
  <c r="AH31" i="12"/>
  <c r="AI31" i="12" s="1"/>
  <c r="AH30" i="12"/>
  <c r="AI30" i="12" s="1"/>
  <c r="AH29" i="12"/>
  <c r="AI29" i="12" s="1"/>
  <c r="AH28" i="12"/>
  <c r="AI28" i="12" s="1"/>
  <c r="AH27" i="12"/>
  <c r="AI27" i="12" s="1"/>
  <c r="AH26" i="12"/>
  <c r="AI26" i="12" s="1"/>
  <c r="AH25" i="12"/>
  <c r="AI25" i="12" s="1"/>
  <c r="AH24" i="12"/>
  <c r="C23" i="12" a="1"/>
  <c r="C23" i="12" s="1"/>
  <c r="B17" i="12"/>
  <c r="B15" i="12"/>
  <c r="B13" i="12"/>
  <c r="B11" i="12"/>
  <c r="B9" i="12"/>
  <c r="AI5" i="12"/>
  <c r="AI4" i="12"/>
  <c r="AD4" i="12"/>
  <c r="AD5" i="12" s="1"/>
  <c r="B4" i="12"/>
  <c r="AI3" i="12"/>
  <c r="B7" i="2"/>
  <c r="C39" i="11"/>
  <c r="AG38" i="11"/>
  <c r="AG39" i="11" s="1"/>
  <c r="AF38" i="11"/>
  <c r="AF39" i="11" s="1"/>
  <c r="AE38" i="11"/>
  <c r="AE39" i="11" s="1"/>
  <c r="AD38" i="11"/>
  <c r="AD39" i="11" s="1"/>
  <c r="AC38" i="11"/>
  <c r="AC39" i="11" s="1"/>
  <c r="AB38" i="11"/>
  <c r="AB39" i="11" s="1"/>
  <c r="AA38" i="11"/>
  <c r="AA39" i="11" s="1"/>
  <c r="Z38" i="11"/>
  <c r="Z39" i="11" s="1"/>
  <c r="Y38" i="11"/>
  <c r="Y39" i="11" s="1"/>
  <c r="X38" i="11"/>
  <c r="X39" i="11" s="1"/>
  <c r="W38" i="11"/>
  <c r="W39" i="11" s="1"/>
  <c r="V38" i="11"/>
  <c r="V39" i="11" s="1"/>
  <c r="U38" i="11"/>
  <c r="U39" i="11" s="1"/>
  <c r="T38" i="11"/>
  <c r="T39" i="11" s="1"/>
  <c r="S38" i="11"/>
  <c r="S39" i="11" s="1"/>
  <c r="R38" i="11"/>
  <c r="R39" i="11" s="1"/>
  <c r="Q38" i="11"/>
  <c r="Q39" i="11" s="1"/>
  <c r="P38" i="11"/>
  <c r="P39" i="11" s="1"/>
  <c r="O38" i="11"/>
  <c r="O39" i="11" s="1"/>
  <c r="N38" i="11"/>
  <c r="N39" i="11" s="1"/>
  <c r="M38" i="11"/>
  <c r="M39" i="11" s="1"/>
  <c r="L38" i="11"/>
  <c r="L39" i="11" s="1"/>
  <c r="K38" i="11"/>
  <c r="K39" i="11" s="1"/>
  <c r="J38" i="11"/>
  <c r="J39" i="11" s="1"/>
  <c r="I38" i="11"/>
  <c r="I39" i="11" s="1"/>
  <c r="H38" i="11"/>
  <c r="H39" i="11" s="1"/>
  <c r="G38" i="11"/>
  <c r="G39" i="11" s="1"/>
  <c r="F38" i="11"/>
  <c r="F39" i="11" s="1"/>
  <c r="E38" i="11"/>
  <c r="E39" i="11" s="1"/>
  <c r="D38" i="11"/>
  <c r="D39" i="11" s="1"/>
  <c r="C38" i="11"/>
  <c r="AH36" i="11"/>
  <c r="AI36" i="11" s="1"/>
  <c r="AH35" i="11"/>
  <c r="AI35" i="11" s="1"/>
  <c r="AH34" i="11"/>
  <c r="AI34" i="11" s="1"/>
  <c r="AH33" i="11"/>
  <c r="AI33" i="11" s="1"/>
  <c r="AH32" i="11"/>
  <c r="AI32" i="11" s="1"/>
  <c r="AH31" i="11"/>
  <c r="AI31" i="11" s="1"/>
  <c r="AH30" i="11"/>
  <c r="AI30" i="11" s="1"/>
  <c r="AH29" i="11"/>
  <c r="AI29" i="11" s="1"/>
  <c r="AH28" i="11"/>
  <c r="AI28" i="11" s="1"/>
  <c r="AH27" i="11"/>
  <c r="AI27" i="11" s="1"/>
  <c r="AH26" i="11"/>
  <c r="AI26" i="11" s="1"/>
  <c r="AH25" i="11"/>
  <c r="AI25" i="11" s="1"/>
  <c r="AH24" i="11"/>
  <c r="C23" i="11" a="1"/>
  <c r="C23" i="11" s="1"/>
  <c r="B17" i="11"/>
  <c r="B15" i="11"/>
  <c r="B13" i="11"/>
  <c r="B11" i="11"/>
  <c r="B9" i="11"/>
  <c r="AI5" i="11"/>
  <c r="AI4" i="11"/>
  <c r="AD4" i="11"/>
  <c r="AD5" i="11" s="1"/>
  <c r="B4" i="11"/>
  <c r="AI3" i="11"/>
  <c r="C22" i="10"/>
  <c r="B8" i="2"/>
  <c r="C21" i="10" s="1"/>
  <c r="C39" i="10"/>
  <c r="AG38" i="10"/>
  <c r="AG39" i="10" s="1"/>
  <c r="AF38" i="10"/>
  <c r="AF39" i="10" s="1"/>
  <c r="AE38" i="10"/>
  <c r="AE39" i="10" s="1"/>
  <c r="AD38" i="10"/>
  <c r="AD39" i="10" s="1"/>
  <c r="AC38" i="10"/>
  <c r="AC39" i="10" s="1"/>
  <c r="AB38" i="10"/>
  <c r="AB39" i="10" s="1"/>
  <c r="AA38" i="10"/>
  <c r="AA39" i="10" s="1"/>
  <c r="Z38" i="10"/>
  <c r="Z39" i="10" s="1"/>
  <c r="Y38" i="10"/>
  <c r="Y39" i="10" s="1"/>
  <c r="X38" i="10"/>
  <c r="X39" i="10" s="1"/>
  <c r="W38" i="10"/>
  <c r="W39" i="10" s="1"/>
  <c r="V38" i="10"/>
  <c r="V39" i="10" s="1"/>
  <c r="U38" i="10"/>
  <c r="U39" i="10" s="1"/>
  <c r="T38" i="10"/>
  <c r="T39" i="10" s="1"/>
  <c r="S38" i="10"/>
  <c r="S39" i="10" s="1"/>
  <c r="R38" i="10"/>
  <c r="R39" i="10" s="1"/>
  <c r="Q38" i="10"/>
  <c r="Q39" i="10" s="1"/>
  <c r="P38" i="10"/>
  <c r="P39" i="10" s="1"/>
  <c r="O38" i="10"/>
  <c r="O39" i="10" s="1"/>
  <c r="N38" i="10"/>
  <c r="N39" i="10" s="1"/>
  <c r="M38" i="10"/>
  <c r="M39" i="10" s="1"/>
  <c r="L38" i="10"/>
  <c r="L39" i="10" s="1"/>
  <c r="K38" i="10"/>
  <c r="K39" i="10" s="1"/>
  <c r="J38" i="10"/>
  <c r="J39" i="10" s="1"/>
  <c r="I38" i="10"/>
  <c r="I39" i="10" s="1"/>
  <c r="H38" i="10"/>
  <c r="H39" i="10" s="1"/>
  <c r="G38" i="10"/>
  <c r="G39" i="10" s="1"/>
  <c r="F38" i="10"/>
  <c r="F39" i="10" s="1"/>
  <c r="E38" i="10"/>
  <c r="E39" i="10" s="1"/>
  <c r="D38" i="10"/>
  <c r="D39" i="10" s="1"/>
  <c r="C38" i="10"/>
  <c r="AH36" i="10"/>
  <c r="AI36" i="10" s="1"/>
  <c r="AH35" i="10"/>
  <c r="AI35" i="10" s="1"/>
  <c r="AH34" i="10"/>
  <c r="AI34" i="10" s="1"/>
  <c r="AH33" i="10"/>
  <c r="AI33" i="10" s="1"/>
  <c r="AH32" i="10"/>
  <c r="AI32" i="10" s="1"/>
  <c r="AH31" i="10"/>
  <c r="AI31" i="10" s="1"/>
  <c r="AH30" i="10"/>
  <c r="AI30" i="10" s="1"/>
  <c r="AH29" i="10"/>
  <c r="AI29" i="10" s="1"/>
  <c r="AH28" i="10"/>
  <c r="AI28" i="10" s="1"/>
  <c r="AH27" i="10"/>
  <c r="AI27" i="10" s="1"/>
  <c r="AH26" i="10"/>
  <c r="AI26" i="10" s="1"/>
  <c r="AH25" i="10"/>
  <c r="AI25" i="10" s="1"/>
  <c r="AH24" i="10"/>
  <c r="C23" i="10" a="1"/>
  <c r="C23" i="10" s="1"/>
  <c r="D21" i="10"/>
  <c r="C20" i="10"/>
  <c r="B17" i="10"/>
  <c r="B15" i="10"/>
  <c r="B13" i="10"/>
  <c r="B11" i="10"/>
  <c r="B9" i="10"/>
  <c r="AI5" i="10"/>
  <c r="AI4" i="10"/>
  <c r="AD4" i="10"/>
  <c r="AD5" i="10" s="1"/>
  <c r="B4" i="10"/>
  <c r="AI3" i="10"/>
  <c r="B13" i="2"/>
  <c r="C39" i="9"/>
  <c r="AG38" i="9"/>
  <c r="AG39" i="9" s="1"/>
  <c r="AF38" i="9"/>
  <c r="AF39" i="9" s="1"/>
  <c r="AE38" i="9"/>
  <c r="AE39" i="9" s="1"/>
  <c r="AD38" i="9"/>
  <c r="AD39" i="9" s="1"/>
  <c r="AC38" i="9"/>
  <c r="AC39" i="9" s="1"/>
  <c r="AB38" i="9"/>
  <c r="AB39" i="9" s="1"/>
  <c r="AA38" i="9"/>
  <c r="AA39" i="9" s="1"/>
  <c r="Z38" i="9"/>
  <c r="Z39" i="9" s="1"/>
  <c r="Y38" i="9"/>
  <c r="Y39" i="9" s="1"/>
  <c r="X38" i="9"/>
  <c r="X39" i="9" s="1"/>
  <c r="W38" i="9"/>
  <c r="W39" i="9" s="1"/>
  <c r="V38" i="9"/>
  <c r="V39" i="9" s="1"/>
  <c r="U38" i="9"/>
  <c r="U39" i="9" s="1"/>
  <c r="T38" i="9"/>
  <c r="T39" i="9" s="1"/>
  <c r="S38" i="9"/>
  <c r="S39" i="9" s="1"/>
  <c r="R38" i="9"/>
  <c r="R39" i="9" s="1"/>
  <c r="Q38" i="9"/>
  <c r="Q39" i="9" s="1"/>
  <c r="P38" i="9"/>
  <c r="P39" i="9" s="1"/>
  <c r="O38" i="9"/>
  <c r="O39" i="9" s="1"/>
  <c r="N38" i="9"/>
  <c r="N39" i="9" s="1"/>
  <c r="M38" i="9"/>
  <c r="M39" i="9" s="1"/>
  <c r="L38" i="9"/>
  <c r="L39" i="9" s="1"/>
  <c r="K38" i="9"/>
  <c r="K39" i="9" s="1"/>
  <c r="J38" i="9"/>
  <c r="J39" i="9" s="1"/>
  <c r="I38" i="9"/>
  <c r="I39" i="9" s="1"/>
  <c r="H38" i="9"/>
  <c r="H39" i="9" s="1"/>
  <c r="G38" i="9"/>
  <c r="G39" i="9" s="1"/>
  <c r="F38" i="9"/>
  <c r="F39" i="9" s="1"/>
  <c r="E38" i="9"/>
  <c r="E39" i="9" s="1"/>
  <c r="D38" i="9"/>
  <c r="D39" i="9" s="1"/>
  <c r="C38" i="9"/>
  <c r="AH36" i="9"/>
  <c r="AI36" i="9" s="1"/>
  <c r="AH35" i="9"/>
  <c r="AI35" i="9" s="1"/>
  <c r="AH34" i="9"/>
  <c r="AI34" i="9" s="1"/>
  <c r="AH33" i="9"/>
  <c r="AI33" i="9" s="1"/>
  <c r="AH32" i="9"/>
  <c r="AI32" i="9" s="1"/>
  <c r="AH31" i="9"/>
  <c r="AI31" i="9" s="1"/>
  <c r="AH30" i="9"/>
  <c r="AI30" i="9" s="1"/>
  <c r="AH29" i="9"/>
  <c r="AI29" i="9" s="1"/>
  <c r="AH28" i="9"/>
  <c r="AI28" i="9" s="1"/>
  <c r="AH27" i="9"/>
  <c r="AI27" i="9" s="1"/>
  <c r="AH26" i="9"/>
  <c r="AI26" i="9" s="1"/>
  <c r="AH25" i="9"/>
  <c r="AI25" i="9" s="1"/>
  <c r="AH24" i="9"/>
  <c r="C23" i="9" a="1"/>
  <c r="C23" i="9" s="1"/>
  <c r="B17" i="9"/>
  <c r="B15" i="9"/>
  <c r="B13" i="9"/>
  <c r="B11" i="9"/>
  <c r="B9" i="9"/>
  <c r="AI5" i="9"/>
  <c r="AI4" i="9"/>
  <c r="AD4" i="9"/>
  <c r="AD5" i="9" s="1"/>
  <c r="B4" i="9"/>
  <c r="AI3" i="9"/>
  <c r="B12" i="2"/>
  <c r="C39" i="8"/>
  <c r="AG38" i="8"/>
  <c r="AG39" i="8" s="1"/>
  <c r="AF38" i="8"/>
  <c r="AF39" i="8" s="1"/>
  <c r="AE38" i="8"/>
  <c r="AE39" i="8" s="1"/>
  <c r="AD38" i="8"/>
  <c r="AD39" i="8" s="1"/>
  <c r="AC38" i="8"/>
  <c r="AC39" i="8" s="1"/>
  <c r="AB38" i="8"/>
  <c r="AB39" i="8" s="1"/>
  <c r="AA38" i="8"/>
  <c r="AA39" i="8" s="1"/>
  <c r="Z38" i="8"/>
  <c r="Z39" i="8" s="1"/>
  <c r="Y38" i="8"/>
  <c r="Y39" i="8" s="1"/>
  <c r="X38" i="8"/>
  <c r="X39" i="8" s="1"/>
  <c r="W38" i="8"/>
  <c r="W39" i="8" s="1"/>
  <c r="V38" i="8"/>
  <c r="V39" i="8" s="1"/>
  <c r="U38" i="8"/>
  <c r="U39" i="8" s="1"/>
  <c r="T38" i="8"/>
  <c r="T39" i="8" s="1"/>
  <c r="S38" i="8"/>
  <c r="S39" i="8" s="1"/>
  <c r="R38" i="8"/>
  <c r="R39" i="8" s="1"/>
  <c r="Q38" i="8"/>
  <c r="Q39" i="8" s="1"/>
  <c r="P38" i="8"/>
  <c r="P39" i="8" s="1"/>
  <c r="O38" i="8"/>
  <c r="O39" i="8" s="1"/>
  <c r="N38" i="8"/>
  <c r="N39" i="8" s="1"/>
  <c r="M38" i="8"/>
  <c r="M39" i="8" s="1"/>
  <c r="L38" i="8"/>
  <c r="L39" i="8" s="1"/>
  <c r="K38" i="8"/>
  <c r="K39" i="8" s="1"/>
  <c r="J38" i="8"/>
  <c r="J39" i="8" s="1"/>
  <c r="I38" i="8"/>
  <c r="I39" i="8" s="1"/>
  <c r="H38" i="8"/>
  <c r="H39" i="8" s="1"/>
  <c r="G38" i="8"/>
  <c r="G39" i="8" s="1"/>
  <c r="F38" i="8"/>
  <c r="F39" i="8" s="1"/>
  <c r="E38" i="8"/>
  <c r="E39" i="8" s="1"/>
  <c r="D38" i="8"/>
  <c r="D39" i="8" s="1"/>
  <c r="C38" i="8"/>
  <c r="AH36" i="8"/>
  <c r="AI36" i="8" s="1"/>
  <c r="AH35" i="8"/>
  <c r="AI35" i="8" s="1"/>
  <c r="AH34" i="8"/>
  <c r="AI34" i="8" s="1"/>
  <c r="AH33" i="8"/>
  <c r="AI33" i="8" s="1"/>
  <c r="AH32" i="8"/>
  <c r="AI32" i="8" s="1"/>
  <c r="AH31" i="8"/>
  <c r="AI31" i="8" s="1"/>
  <c r="AH30" i="8"/>
  <c r="AI30" i="8" s="1"/>
  <c r="AH29" i="8"/>
  <c r="AI29" i="8" s="1"/>
  <c r="AH28" i="8"/>
  <c r="AI28" i="8" s="1"/>
  <c r="AH27" i="8"/>
  <c r="AI27" i="8" s="1"/>
  <c r="AH26" i="8"/>
  <c r="AI26" i="8" s="1"/>
  <c r="AH25" i="8"/>
  <c r="AI25" i="8" s="1"/>
  <c r="AH24" i="8"/>
  <c r="C23" i="8" a="1"/>
  <c r="C23" i="8" s="1"/>
  <c r="B17" i="8"/>
  <c r="B15" i="8"/>
  <c r="B13" i="8"/>
  <c r="B11" i="8"/>
  <c r="B9" i="8"/>
  <c r="AI5" i="8"/>
  <c r="AI4" i="8"/>
  <c r="AD4" i="8"/>
  <c r="AD5" i="8" s="1"/>
  <c r="B4" i="8"/>
  <c r="AI3" i="8"/>
  <c r="C22" i="7"/>
  <c r="B11" i="2"/>
  <c r="C21" i="7" s="1"/>
  <c r="B10" i="2"/>
  <c r="B9" i="2"/>
  <c r="C22" i="4" s="1"/>
  <c r="C6" i="2"/>
  <c r="C39" i="7"/>
  <c r="AG38" i="7"/>
  <c r="AG39" i="7" s="1"/>
  <c r="AF38" i="7"/>
  <c r="AF39" i="7" s="1"/>
  <c r="AE38" i="7"/>
  <c r="AE39" i="7" s="1"/>
  <c r="AD38" i="7"/>
  <c r="AD39" i="7" s="1"/>
  <c r="AC38" i="7"/>
  <c r="AC39" i="7" s="1"/>
  <c r="AB38" i="7"/>
  <c r="AB39" i="7" s="1"/>
  <c r="AA38" i="7"/>
  <c r="AA39" i="7" s="1"/>
  <c r="Z38" i="7"/>
  <c r="Z39" i="7" s="1"/>
  <c r="Y38" i="7"/>
  <c r="Y39" i="7" s="1"/>
  <c r="X38" i="7"/>
  <c r="X39" i="7" s="1"/>
  <c r="W38" i="7"/>
  <c r="W39" i="7" s="1"/>
  <c r="V38" i="7"/>
  <c r="V39" i="7" s="1"/>
  <c r="U38" i="7"/>
  <c r="U39" i="7" s="1"/>
  <c r="T38" i="7"/>
  <c r="T39" i="7" s="1"/>
  <c r="S38" i="7"/>
  <c r="S39" i="7" s="1"/>
  <c r="R38" i="7"/>
  <c r="R39" i="7" s="1"/>
  <c r="Q38" i="7"/>
  <c r="Q39" i="7" s="1"/>
  <c r="P38" i="7"/>
  <c r="P39" i="7" s="1"/>
  <c r="O38" i="7"/>
  <c r="O39" i="7" s="1"/>
  <c r="N38" i="7"/>
  <c r="N39" i="7" s="1"/>
  <c r="M38" i="7"/>
  <c r="M39" i="7" s="1"/>
  <c r="L38" i="7"/>
  <c r="L39" i="7" s="1"/>
  <c r="K38" i="7"/>
  <c r="K39" i="7" s="1"/>
  <c r="J38" i="7"/>
  <c r="J39" i="7" s="1"/>
  <c r="I38" i="7"/>
  <c r="I39" i="7" s="1"/>
  <c r="H38" i="7"/>
  <c r="H39" i="7" s="1"/>
  <c r="G38" i="7"/>
  <c r="G39" i="7" s="1"/>
  <c r="F38" i="7"/>
  <c r="F39" i="7" s="1"/>
  <c r="E38" i="7"/>
  <c r="E39" i="7" s="1"/>
  <c r="D38" i="7"/>
  <c r="D39" i="7" s="1"/>
  <c r="C38" i="7"/>
  <c r="AH36" i="7"/>
  <c r="AI36" i="7" s="1"/>
  <c r="AH35" i="7"/>
  <c r="AI35" i="7" s="1"/>
  <c r="AH34" i="7"/>
  <c r="AI34" i="7" s="1"/>
  <c r="AH33" i="7"/>
  <c r="AI33" i="7" s="1"/>
  <c r="AH32" i="7"/>
  <c r="AI32" i="7" s="1"/>
  <c r="AH31" i="7"/>
  <c r="AI31" i="7" s="1"/>
  <c r="AH30" i="7"/>
  <c r="AI30" i="7" s="1"/>
  <c r="AH29" i="7"/>
  <c r="AI29" i="7" s="1"/>
  <c r="AH28" i="7"/>
  <c r="AI28" i="7" s="1"/>
  <c r="AH27" i="7"/>
  <c r="AI27" i="7" s="1"/>
  <c r="AH26" i="7"/>
  <c r="AI26" i="7" s="1"/>
  <c r="AH25" i="7"/>
  <c r="AI25" i="7" s="1"/>
  <c r="AH24" i="7"/>
  <c r="C23" i="7" a="1"/>
  <c r="C23" i="7" s="1"/>
  <c r="B17" i="7"/>
  <c r="B15" i="7"/>
  <c r="B13" i="7"/>
  <c r="B11" i="7"/>
  <c r="B9" i="7"/>
  <c r="AI5" i="7"/>
  <c r="AI4" i="7"/>
  <c r="AD4" i="7"/>
  <c r="AD5" i="7" s="1"/>
  <c r="B4" i="7"/>
  <c r="AI3" i="7"/>
  <c r="G21" i="2"/>
  <c r="I21" i="2"/>
  <c r="C39" i="6"/>
  <c r="AG38" i="6"/>
  <c r="AG39" i="6" s="1"/>
  <c r="AF38" i="6"/>
  <c r="AF39" i="6" s="1"/>
  <c r="AE38" i="6"/>
  <c r="AE39" i="6" s="1"/>
  <c r="AD38" i="6"/>
  <c r="AD39" i="6" s="1"/>
  <c r="AC38" i="6"/>
  <c r="AC39" i="6" s="1"/>
  <c r="AB38" i="6"/>
  <c r="AB39" i="6" s="1"/>
  <c r="AA38" i="6"/>
  <c r="AA39" i="6" s="1"/>
  <c r="Z38" i="6"/>
  <c r="Z39" i="6" s="1"/>
  <c r="Y38" i="6"/>
  <c r="Y39" i="6" s="1"/>
  <c r="X38" i="6"/>
  <c r="X39" i="6" s="1"/>
  <c r="W38" i="6"/>
  <c r="W39" i="6" s="1"/>
  <c r="V38" i="6"/>
  <c r="V39" i="6" s="1"/>
  <c r="U38" i="6"/>
  <c r="U39" i="6" s="1"/>
  <c r="T38" i="6"/>
  <c r="T39" i="6" s="1"/>
  <c r="S38" i="6"/>
  <c r="S39" i="6" s="1"/>
  <c r="R38" i="6"/>
  <c r="R39" i="6" s="1"/>
  <c r="Q38" i="6"/>
  <c r="Q39" i="6" s="1"/>
  <c r="P38" i="6"/>
  <c r="P39" i="6" s="1"/>
  <c r="O38" i="6"/>
  <c r="O39" i="6" s="1"/>
  <c r="N38" i="6"/>
  <c r="N39" i="6" s="1"/>
  <c r="M38" i="6"/>
  <c r="M39" i="6" s="1"/>
  <c r="L38" i="6"/>
  <c r="L39" i="6" s="1"/>
  <c r="K38" i="6"/>
  <c r="K39" i="6" s="1"/>
  <c r="J38" i="6"/>
  <c r="J39" i="6" s="1"/>
  <c r="I38" i="6"/>
  <c r="I39" i="6" s="1"/>
  <c r="H38" i="6"/>
  <c r="H39" i="6" s="1"/>
  <c r="G38" i="6"/>
  <c r="G39" i="6" s="1"/>
  <c r="F38" i="6"/>
  <c r="F39" i="6" s="1"/>
  <c r="E38" i="6"/>
  <c r="E39" i="6" s="1"/>
  <c r="D38" i="6"/>
  <c r="D39" i="6" s="1"/>
  <c r="C38" i="6"/>
  <c r="AH36" i="6"/>
  <c r="AI36" i="6" s="1"/>
  <c r="AH35" i="6"/>
  <c r="AI35" i="6" s="1"/>
  <c r="AH34" i="6"/>
  <c r="AI34" i="6" s="1"/>
  <c r="AH33" i="6"/>
  <c r="AI33" i="6" s="1"/>
  <c r="AH32" i="6"/>
  <c r="AI32" i="6" s="1"/>
  <c r="AH31" i="6"/>
  <c r="AI31" i="6" s="1"/>
  <c r="AH30" i="6"/>
  <c r="AI30" i="6" s="1"/>
  <c r="AH29" i="6"/>
  <c r="AI29" i="6" s="1"/>
  <c r="AH28" i="6"/>
  <c r="AI28" i="6" s="1"/>
  <c r="AH27" i="6"/>
  <c r="AI27" i="6" s="1"/>
  <c r="AH26" i="6"/>
  <c r="AI26" i="6" s="1"/>
  <c r="AH25" i="6"/>
  <c r="AI25" i="6" s="1"/>
  <c r="AH24" i="6"/>
  <c r="C23" i="6" a="1"/>
  <c r="C23" i="6" s="1"/>
  <c r="B17" i="6"/>
  <c r="B15" i="6"/>
  <c r="B13" i="6"/>
  <c r="B11" i="6"/>
  <c r="B9" i="6"/>
  <c r="AI5" i="6"/>
  <c r="AI4" i="6"/>
  <c r="AD5" i="6"/>
  <c r="B4" i="6"/>
  <c r="AI3" i="6"/>
  <c r="C39" i="4"/>
  <c r="AG38" i="4"/>
  <c r="AG39" i="4" s="1"/>
  <c r="AF38" i="4"/>
  <c r="AF39" i="4" s="1"/>
  <c r="AE38" i="4"/>
  <c r="AE39" i="4" s="1"/>
  <c r="AD38" i="4"/>
  <c r="AD39" i="4" s="1"/>
  <c r="AC38" i="4"/>
  <c r="AC39" i="4" s="1"/>
  <c r="AB38" i="4"/>
  <c r="AB39" i="4" s="1"/>
  <c r="AA38" i="4"/>
  <c r="AA39" i="4" s="1"/>
  <c r="Z38" i="4"/>
  <c r="Z39" i="4" s="1"/>
  <c r="Y38" i="4"/>
  <c r="Y39" i="4" s="1"/>
  <c r="X38" i="4"/>
  <c r="X39" i="4" s="1"/>
  <c r="W38" i="4"/>
  <c r="W39" i="4" s="1"/>
  <c r="V38" i="4"/>
  <c r="V39" i="4" s="1"/>
  <c r="U38" i="4"/>
  <c r="U39" i="4" s="1"/>
  <c r="T38" i="4"/>
  <c r="T39" i="4" s="1"/>
  <c r="S38" i="4"/>
  <c r="S39" i="4" s="1"/>
  <c r="R38" i="4"/>
  <c r="R39" i="4" s="1"/>
  <c r="Q38" i="4"/>
  <c r="Q39" i="4" s="1"/>
  <c r="P38" i="4"/>
  <c r="P39" i="4" s="1"/>
  <c r="O38" i="4"/>
  <c r="O39" i="4" s="1"/>
  <c r="N38" i="4"/>
  <c r="N39" i="4" s="1"/>
  <c r="M38" i="4"/>
  <c r="M39" i="4" s="1"/>
  <c r="L38" i="4"/>
  <c r="L39" i="4" s="1"/>
  <c r="K38" i="4"/>
  <c r="K39" i="4" s="1"/>
  <c r="J38" i="4"/>
  <c r="J39" i="4" s="1"/>
  <c r="I38" i="4"/>
  <c r="I39" i="4" s="1"/>
  <c r="H38" i="4"/>
  <c r="H39" i="4" s="1"/>
  <c r="G38" i="4"/>
  <c r="G39" i="4" s="1"/>
  <c r="F38" i="4"/>
  <c r="F39" i="4" s="1"/>
  <c r="E38" i="4"/>
  <c r="E39" i="4" s="1"/>
  <c r="D38" i="4"/>
  <c r="D39" i="4" s="1"/>
  <c r="C38" i="4"/>
  <c r="AH36" i="4"/>
  <c r="AI36" i="4" s="1"/>
  <c r="AH35" i="4"/>
  <c r="AI35" i="4" s="1"/>
  <c r="AH34" i="4"/>
  <c r="AI34" i="4" s="1"/>
  <c r="AH33" i="4"/>
  <c r="AI33" i="4" s="1"/>
  <c r="AH32" i="4"/>
  <c r="AI32" i="4" s="1"/>
  <c r="AH31" i="4"/>
  <c r="AI31" i="4" s="1"/>
  <c r="AH30" i="4"/>
  <c r="AI30" i="4" s="1"/>
  <c r="AH29" i="4"/>
  <c r="AI29" i="4" s="1"/>
  <c r="AH28" i="4"/>
  <c r="AI28" i="4" s="1"/>
  <c r="AH27" i="4"/>
  <c r="AI27" i="4" s="1"/>
  <c r="AH26" i="4"/>
  <c r="AI26" i="4" s="1"/>
  <c r="AH25" i="4"/>
  <c r="AI25" i="4" s="1"/>
  <c r="AH24" i="4"/>
  <c r="C23" i="4" a="1"/>
  <c r="C23" i="4" s="1"/>
  <c r="B17" i="4"/>
  <c r="B15" i="4"/>
  <c r="B13" i="4"/>
  <c r="B11" i="4"/>
  <c r="B9" i="4"/>
  <c r="AI5" i="4"/>
  <c r="AI4" i="4"/>
  <c r="AD4" i="4"/>
  <c r="AD5" i="4" s="1"/>
  <c r="B4" i="4"/>
  <c r="AI3" i="4"/>
  <c r="AZ9" i="2"/>
  <c r="AY9" i="2"/>
  <c r="AX9" i="2"/>
  <c r="AW9" i="2"/>
  <c r="AV9" i="2"/>
  <c r="AU9" i="2"/>
  <c r="AT9" i="2"/>
  <c r="AS9" i="2"/>
  <c r="AR9" i="2"/>
  <c r="AQ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V9" i="2"/>
  <c r="W9" i="2"/>
  <c r="X9" i="2"/>
  <c r="Y9" i="2"/>
  <c r="Z9" i="2"/>
  <c r="AA9" i="2"/>
  <c r="U9" i="2"/>
  <c r="C38" i="3"/>
  <c r="X38" i="3"/>
  <c r="J38" i="3"/>
  <c r="AD4" i="3"/>
  <c r="AD5" i="3"/>
  <c r="AH25" i="3"/>
  <c r="AI25" i="3" s="1"/>
  <c r="AH26" i="3"/>
  <c r="AI26" i="3" s="1"/>
  <c r="AH27" i="3"/>
  <c r="AI27" i="3" s="1"/>
  <c r="AH28" i="3"/>
  <c r="AI28" i="3" s="1"/>
  <c r="AH29" i="3"/>
  <c r="AI29" i="3" s="1"/>
  <c r="AH30" i="3"/>
  <c r="AI30" i="3" s="1"/>
  <c r="AH31" i="3"/>
  <c r="AI31" i="3" s="1"/>
  <c r="AH32" i="3"/>
  <c r="AI32" i="3" s="1"/>
  <c r="AH33" i="3"/>
  <c r="AI33" i="3" s="1"/>
  <c r="AH34" i="3"/>
  <c r="AI34" i="3" s="1"/>
  <c r="AH35" i="3"/>
  <c r="AI35" i="3" s="1"/>
  <c r="AH36" i="3"/>
  <c r="AI36" i="3" s="1"/>
  <c r="AH24" i="3"/>
  <c r="B4" i="3"/>
  <c r="Q6" i="2"/>
  <c r="C39" i="3"/>
  <c r="D38" i="3"/>
  <c r="D39" i="3" s="1"/>
  <c r="E38" i="3"/>
  <c r="E39" i="3" s="1"/>
  <c r="F38" i="3"/>
  <c r="F39" i="3" s="1"/>
  <c r="G38" i="3"/>
  <c r="G39" i="3" s="1"/>
  <c r="H38" i="3"/>
  <c r="H39" i="3" s="1"/>
  <c r="I38" i="3"/>
  <c r="I39" i="3" s="1"/>
  <c r="K38" i="3"/>
  <c r="K39" i="3" s="1"/>
  <c r="L38" i="3"/>
  <c r="L39" i="3" s="1"/>
  <c r="M38" i="3"/>
  <c r="M39" i="3" s="1"/>
  <c r="N38" i="3"/>
  <c r="N39" i="3" s="1"/>
  <c r="O38" i="3"/>
  <c r="O39" i="3" s="1"/>
  <c r="P38" i="3"/>
  <c r="P39" i="3" s="1"/>
  <c r="Q38" i="3"/>
  <c r="R38" i="3"/>
  <c r="R39" i="3" s="1"/>
  <c r="S38" i="3"/>
  <c r="S39" i="3" s="1"/>
  <c r="T38" i="3"/>
  <c r="T39" i="3" s="1"/>
  <c r="U38" i="3"/>
  <c r="U39" i="3" s="1"/>
  <c r="V38" i="3"/>
  <c r="V39" i="3" s="1"/>
  <c r="W38" i="3"/>
  <c r="W39" i="3" s="1"/>
  <c r="X39" i="3"/>
  <c r="Y38" i="3"/>
  <c r="Y39" i="3" s="1"/>
  <c r="Z38" i="3"/>
  <c r="Z39" i="3" s="1"/>
  <c r="AA38" i="3"/>
  <c r="AA39" i="3" s="1"/>
  <c r="AB38" i="3"/>
  <c r="AB39" i="3" s="1"/>
  <c r="AC38" i="3"/>
  <c r="AC39" i="3" s="1"/>
  <c r="AD38" i="3"/>
  <c r="AD39" i="3" s="1"/>
  <c r="AE38" i="3"/>
  <c r="AF38" i="3"/>
  <c r="AF39" i="3" s="1"/>
  <c r="AG38" i="3"/>
  <c r="AG39" i="3" s="1"/>
  <c r="C23" i="3" a="1"/>
  <c r="C23" i="3" s="1"/>
  <c r="C21" i="6" l="1"/>
  <c r="D21" i="6" s="1"/>
  <c r="C22" i="6"/>
  <c r="B45" i="15"/>
  <c r="B42" i="15"/>
  <c r="C22" i="14"/>
  <c r="C21" i="14"/>
  <c r="B45" i="14"/>
  <c r="B42" i="14"/>
  <c r="C22" i="13"/>
  <c r="C21" i="13"/>
  <c r="B45" i="13"/>
  <c r="B42" i="13"/>
  <c r="C22" i="12"/>
  <c r="C21" i="12"/>
  <c r="B45" i="12"/>
  <c r="B42" i="12"/>
  <c r="C22" i="11"/>
  <c r="C21" i="11"/>
  <c r="B45" i="11"/>
  <c r="B42" i="11"/>
  <c r="D22" i="10"/>
  <c r="E21" i="10"/>
  <c r="B45" i="10"/>
  <c r="B42" i="10"/>
  <c r="C22" i="9"/>
  <c r="C21" i="9"/>
  <c r="B45" i="9"/>
  <c r="B42" i="9"/>
  <c r="C21" i="8"/>
  <c r="C22" i="8"/>
  <c r="B45" i="8"/>
  <c r="B42" i="8"/>
  <c r="C21" i="4"/>
  <c r="D21" i="4" s="1"/>
  <c r="S52" i="4"/>
  <c r="U8" i="2"/>
  <c r="B45" i="7"/>
  <c r="B42" i="7"/>
  <c r="B45" i="6"/>
  <c r="B42" i="6"/>
  <c r="B45" i="4"/>
  <c r="B42" i="4"/>
  <c r="C22" i="3"/>
  <c r="B45" i="3"/>
  <c r="B42" i="3"/>
  <c r="C15" i="2"/>
  <c r="B9" i="3"/>
  <c r="C19" i="2"/>
  <c r="B17" i="3"/>
  <c r="C17" i="2"/>
  <c r="B13" i="3"/>
  <c r="C16" i="2"/>
  <c r="B11" i="3"/>
  <c r="C18" i="2"/>
  <c r="B15" i="3"/>
  <c r="AE39" i="3"/>
  <c r="Q39" i="3"/>
  <c r="J39" i="3"/>
  <c r="C21" i="3"/>
  <c r="D21" i="15" l="1"/>
  <c r="C20" i="15"/>
  <c r="D21" i="14"/>
  <c r="C20" i="14"/>
  <c r="D21" i="13"/>
  <c r="C20" i="13"/>
  <c r="D21" i="12"/>
  <c r="C20" i="12"/>
  <c r="D21" i="11"/>
  <c r="C20" i="11"/>
  <c r="E22" i="10"/>
  <c r="F21" i="10"/>
  <c r="D21" i="9"/>
  <c r="C20" i="9"/>
  <c r="D21" i="8"/>
  <c r="C20" i="8"/>
  <c r="C20" i="4"/>
  <c r="C20" i="6"/>
  <c r="D21" i="7"/>
  <c r="C20" i="7"/>
  <c r="AI4" i="3"/>
  <c r="AI5" i="3"/>
  <c r="AI3" i="3"/>
  <c r="C20" i="3"/>
  <c r="D21" i="3"/>
  <c r="V8" i="2" s="1"/>
  <c r="D22" i="15" l="1"/>
  <c r="E21" i="15"/>
  <c r="D22" i="14"/>
  <c r="E21" i="14"/>
  <c r="D22" i="13"/>
  <c r="E21" i="13"/>
  <c r="D22" i="12"/>
  <c r="E21" i="12"/>
  <c r="D22" i="11"/>
  <c r="E21" i="11"/>
  <c r="F22" i="10"/>
  <c r="G21" i="10"/>
  <c r="D22" i="9"/>
  <c r="E21" i="9"/>
  <c r="D22" i="8"/>
  <c r="E21" i="8"/>
  <c r="D22" i="7"/>
  <c r="E21" i="7"/>
  <c r="D22" i="6"/>
  <c r="E21" i="6"/>
  <c r="D22" i="4"/>
  <c r="E21" i="4"/>
  <c r="D22" i="3"/>
  <c r="E21" i="3"/>
  <c r="W8" i="2" s="1"/>
  <c r="E22" i="15" l="1"/>
  <c r="F21" i="15"/>
  <c r="E22" i="14"/>
  <c r="F21" i="14"/>
  <c r="E22" i="13"/>
  <c r="F21" i="13"/>
  <c r="E22" i="12"/>
  <c r="F21" i="12"/>
  <c r="E22" i="11"/>
  <c r="F21" i="11"/>
  <c r="G22" i="10"/>
  <c r="H21" i="10"/>
  <c r="E22" i="9"/>
  <c r="F21" i="9"/>
  <c r="E22" i="8"/>
  <c r="F21" i="8"/>
  <c r="E22" i="4"/>
  <c r="F21" i="4"/>
  <c r="E22" i="6"/>
  <c r="F21" i="6"/>
  <c r="E22" i="7"/>
  <c r="F21" i="7"/>
  <c r="E22" i="3"/>
  <c r="F21" i="3"/>
  <c r="X8" i="2" s="1"/>
  <c r="F22" i="15" l="1"/>
  <c r="G21" i="15"/>
  <c r="F22" i="14"/>
  <c r="G21" i="14"/>
  <c r="F22" i="13"/>
  <c r="G21" i="13"/>
  <c r="F22" i="12"/>
  <c r="G21" i="12"/>
  <c r="F22" i="11"/>
  <c r="G21" i="11"/>
  <c r="H22" i="10"/>
  <c r="I21" i="10"/>
  <c r="F22" i="9"/>
  <c r="G21" i="9"/>
  <c r="F22" i="8"/>
  <c r="G21" i="8"/>
  <c r="F22" i="7"/>
  <c r="G21" i="7"/>
  <c r="F22" i="6"/>
  <c r="G21" i="6"/>
  <c r="F22" i="4"/>
  <c r="G21" i="4"/>
  <c r="G21" i="3"/>
  <c r="Y8" i="2" s="1"/>
  <c r="F22" i="3"/>
  <c r="G22" i="15" l="1"/>
  <c r="H21" i="15"/>
  <c r="G22" i="14"/>
  <c r="H21" i="14"/>
  <c r="G22" i="13"/>
  <c r="H21" i="13"/>
  <c r="G22" i="12"/>
  <c r="H21" i="12"/>
  <c r="G22" i="11"/>
  <c r="H21" i="11"/>
  <c r="I22" i="10"/>
  <c r="J21" i="10"/>
  <c r="G22" i="9"/>
  <c r="H21" i="9"/>
  <c r="G22" i="8"/>
  <c r="H21" i="8"/>
  <c r="G22" i="4"/>
  <c r="H21" i="4"/>
  <c r="G22" i="6"/>
  <c r="H21" i="6"/>
  <c r="G22" i="7"/>
  <c r="H21" i="7"/>
  <c r="H21" i="3"/>
  <c r="Z8" i="2" s="1"/>
  <c r="G22" i="3"/>
  <c r="H22" i="15" l="1"/>
  <c r="I21" i="15"/>
  <c r="H22" i="14"/>
  <c r="I21" i="14"/>
  <c r="H22" i="13"/>
  <c r="I21" i="13"/>
  <c r="H22" i="12"/>
  <c r="I21" i="12"/>
  <c r="H22" i="11"/>
  <c r="I21" i="11"/>
  <c r="J22" i="10"/>
  <c r="K21" i="10"/>
  <c r="J20" i="10"/>
  <c r="H22" i="9"/>
  <c r="I21" i="9"/>
  <c r="H22" i="8"/>
  <c r="I21" i="8"/>
  <c r="H22" i="7"/>
  <c r="I21" i="7"/>
  <c r="H22" i="6"/>
  <c r="I21" i="6"/>
  <c r="H22" i="4"/>
  <c r="I21" i="4"/>
  <c r="J21" i="4" s="1"/>
  <c r="K21" i="4" s="1"/>
  <c r="L21" i="4" s="1"/>
  <c r="M21" i="4" s="1"/>
  <c r="N21" i="4" s="1"/>
  <c r="O21" i="4" s="1"/>
  <c r="P21" i="4" s="1"/>
  <c r="I21" i="3"/>
  <c r="AA8" i="2" s="1"/>
  <c r="H22" i="3"/>
  <c r="I22" i="15" l="1"/>
  <c r="J21" i="15"/>
  <c r="I22" i="14"/>
  <c r="J21" i="14"/>
  <c r="I22" i="13"/>
  <c r="J21" i="13"/>
  <c r="I22" i="12"/>
  <c r="J21" i="12"/>
  <c r="I22" i="11"/>
  <c r="J21" i="11"/>
  <c r="K22" i="10"/>
  <c r="L21" i="10"/>
  <c r="I22" i="9"/>
  <c r="J21" i="9"/>
  <c r="I22" i="8"/>
  <c r="J21" i="8"/>
  <c r="I22" i="4"/>
  <c r="I22" i="6"/>
  <c r="J21" i="6"/>
  <c r="I22" i="7"/>
  <c r="J21" i="7"/>
  <c r="J21" i="3"/>
  <c r="I22" i="3"/>
  <c r="J22" i="15" l="1"/>
  <c r="K21" i="15"/>
  <c r="J20" i="15"/>
  <c r="J22" i="14"/>
  <c r="K21" i="14"/>
  <c r="J20" i="14"/>
  <c r="J22" i="13"/>
  <c r="K21" i="13"/>
  <c r="J20" i="13"/>
  <c r="J22" i="12"/>
  <c r="K21" i="12"/>
  <c r="J20" i="12"/>
  <c r="J22" i="11"/>
  <c r="K21" i="11"/>
  <c r="J20" i="11"/>
  <c r="L22" i="10"/>
  <c r="M21" i="10"/>
  <c r="J22" i="9"/>
  <c r="K21" i="9"/>
  <c r="J20" i="9"/>
  <c r="J22" i="8"/>
  <c r="K21" i="8"/>
  <c r="J20" i="8"/>
  <c r="J22" i="7"/>
  <c r="K21" i="7"/>
  <c r="J20" i="7"/>
  <c r="J22" i="6"/>
  <c r="K21" i="6"/>
  <c r="J20" i="6"/>
  <c r="J20" i="3"/>
  <c r="AC8" i="2"/>
  <c r="J22" i="3"/>
  <c r="K21" i="3"/>
  <c r="AD8" i="2" s="1"/>
  <c r="K22" i="15" l="1"/>
  <c r="L21" i="15"/>
  <c r="K22" i="14"/>
  <c r="L21" i="14"/>
  <c r="K22" i="13"/>
  <c r="L21" i="13"/>
  <c r="K22" i="12"/>
  <c r="L21" i="12"/>
  <c r="K22" i="11"/>
  <c r="L21" i="11"/>
  <c r="M22" i="10"/>
  <c r="N21" i="10"/>
  <c r="K22" i="9"/>
  <c r="L21" i="9"/>
  <c r="K22" i="8"/>
  <c r="L21" i="8"/>
  <c r="K22" i="4"/>
  <c r="K22" i="6"/>
  <c r="L21" i="6"/>
  <c r="K22" i="7"/>
  <c r="L21" i="7"/>
  <c r="L21" i="3"/>
  <c r="AE8" i="2" s="1"/>
  <c r="K22" i="3"/>
  <c r="L22" i="15" l="1"/>
  <c r="M21" i="15"/>
  <c r="L22" i="14"/>
  <c r="M21" i="14"/>
  <c r="L22" i="13"/>
  <c r="M21" i="13"/>
  <c r="L22" i="12"/>
  <c r="M21" i="12"/>
  <c r="L22" i="11"/>
  <c r="M21" i="11"/>
  <c r="N22" i="10"/>
  <c r="O21" i="10"/>
  <c r="L22" i="9"/>
  <c r="M21" i="9"/>
  <c r="L22" i="8"/>
  <c r="M21" i="8"/>
  <c r="L22" i="7"/>
  <c r="M21" i="7"/>
  <c r="L22" i="6"/>
  <c r="M21" i="6"/>
  <c r="L22" i="4"/>
  <c r="M21" i="3"/>
  <c r="AF8" i="2" s="1"/>
  <c r="L22" i="3"/>
  <c r="M22" i="15" l="1"/>
  <c r="N21" i="15"/>
  <c r="M22" i="14"/>
  <c r="N21" i="14"/>
  <c r="M22" i="13"/>
  <c r="N21" i="13"/>
  <c r="M22" i="12"/>
  <c r="N21" i="12"/>
  <c r="M22" i="11"/>
  <c r="N21" i="11"/>
  <c r="O22" i="10"/>
  <c r="P21" i="10"/>
  <c r="M22" i="9"/>
  <c r="N21" i="9"/>
  <c r="M22" i="8"/>
  <c r="N21" i="8"/>
  <c r="M22" i="4"/>
  <c r="M22" i="6"/>
  <c r="N21" i="6"/>
  <c r="M22" i="7"/>
  <c r="N21" i="7"/>
  <c r="N21" i="3"/>
  <c r="AG8" i="2" s="1"/>
  <c r="M22" i="3"/>
  <c r="N22" i="15" l="1"/>
  <c r="O21" i="15"/>
  <c r="N22" i="14"/>
  <c r="O21" i="14"/>
  <c r="N22" i="13"/>
  <c r="O21" i="13"/>
  <c r="N22" i="12"/>
  <c r="O21" i="12"/>
  <c r="N22" i="11"/>
  <c r="O21" i="11"/>
  <c r="P22" i="10"/>
  <c r="Q21" i="10"/>
  <c r="N22" i="9"/>
  <c r="O21" i="9"/>
  <c r="N22" i="8"/>
  <c r="O21" i="8"/>
  <c r="N22" i="7"/>
  <c r="O21" i="7"/>
  <c r="N22" i="6"/>
  <c r="O21" i="6"/>
  <c r="N22" i="4"/>
  <c r="N22" i="3"/>
  <c r="O21" i="3"/>
  <c r="AH8" i="2" s="1"/>
  <c r="O22" i="15" l="1"/>
  <c r="P21" i="15"/>
  <c r="O22" i="14"/>
  <c r="P21" i="14"/>
  <c r="O22" i="13"/>
  <c r="P21" i="13"/>
  <c r="O22" i="12"/>
  <c r="P21" i="12"/>
  <c r="O22" i="11"/>
  <c r="P21" i="11"/>
  <c r="Q22" i="10"/>
  <c r="R21" i="10"/>
  <c r="Q20" i="10"/>
  <c r="O22" i="9"/>
  <c r="P21" i="9"/>
  <c r="O22" i="8"/>
  <c r="P21" i="8"/>
  <c r="O22" i="4"/>
  <c r="O22" i="6"/>
  <c r="P21" i="6"/>
  <c r="O22" i="7"/>
  <c r="P21" i="7"/>
  <c r="O22" i="3"/>
  <c r="P21" i="3"/>
  <c r="AI8" i="2" s="1"/>
  <c r="P22" i="15" l="1"/>
  <c r="Q21" i="15"/>
  <c r="P22" i="14"/>
  <c r="Q21" i="14"/>
  <c r="P22" i="13"/>
  <c r="Q21" i="13"/>
  <c r="P22" i="12"/>
  <c r="Q21" i="12"/>
  <c r="P22" i="11"/>
  <c r="Q21" i="11"/>
  <c r="R22" i="10"/>
  <c r="S21" i="10"/>
  <c r="P22" i="9"/>
  <c r="Q21" i="9"/>
  <c r="P22" i="8"/>
  <c r="Q21" i="8"/>
  <c r="P22" i="7"/>
  <c r="Q21" i="7"/>
  <c r="P22" i="6"/>
  <c r="Q21" i="6"/>
  <c r="P22" i="4"/>
  <c r="Q21" i="4"/>
  <c r="P22" i="3"/>
  <c r="Q21" i="3"/>
  <c r="AJ8" i="2" s="1"/>
  <c r="Q22" i="15" l="1"/>
  <c r="R21" i="15"/>
  <c r="Q20" i="15"/>
  <c r="Q22" i="14"/>
  <c r="R21" i="14"/>
  <c r="Q20" i="14"/>
  <c r="Q22" i="13"/>
  <c r="R21" i="13"/>
  <c r="Q20" i="13"/>
  <c r="Q22" i="12"/>
  <c r="R21" i="12"/>
  <c r="Q20" i="12"/>
  <c r="Q22" i="11"/>
  <c r="R21" i="11"/>
  <c r="Q20" i="11"/>
  <c r="S22" i="10"/>
  <c r="T21" i="10"/>
  <c r="Q22" i="9"/>
  <c r="R21" i="9"/>
  <c r="Q20" i="9"/>
  <c r="Q22" i="8"/>
  <c r="R21" i="8"/>
  <c r="Q20" i="8"/>
  <c r="Q22" i="4"/>
  <c r="R21" i="4"/>
  <c r="Q20" i="4"/>
  <c r="Q22" i="6"/>
  <c r="R21" i="6"/>
  <c r="Q20" i="6"/>
  <c r="Q22" i="7"/>
  <c r="R21" i="7"/>
  <c r="Q20" i="7"/>
  <c r="Q20" i="3"/>
  <c r="R21" i="3"/>
  <c r="AK8" i="2" s="1"/>
  <c r="Q22" i="3"/>
  <c r="R22" i="15" l="1"/>
  <c r="S21" i="15"/>
  <c r="R22" i="14"/>
  <c r="S21" i="14"/>
  <c r="R22" i="13"/>
  <c r="S21" i="13"/>
  <c r="R22" i="12"/>
  <c r="S21" i="12"/>
  <c r="R22" i="11"/>
  <c r="S21" i="11"/>
  <c r="T22" i="10"/>
  <c r="U21" i="10"/>
  <c r="R22" i="9"/>
  <c r="S21" i="9"/>
  <c r="R22" i="8"/>
  <c r="S21" i="8"/>
  <c r="R22" i="7"/>
  <c r="S21" i="7"/>
  <c r="R22" i="6"/>
  <c r="S21" i="6"/>
  <c r="R22" i="4"/>
  <c r="S21" i="4"/>
  <c r="S21" i="3"/>
  <c r="AL8" i="2" s="1"/>
  <c r="R22" i="3"/>
  <c r="S22" i="15" l="1"/>
  <c r="T21" i="15"/>
  <c r="S22" i="14"/>
  <c r="T21" i="14"/>
  <c r="S22" i="13"/>
  <c r="T21" i="13"/>
  <c r="S22" i="12"/>
  <c r="T21" i="12"/>
  <c r="S22" i="11"/>
  <c r="T21" i="11"/>
  <c r="U22" i="10"/>
  <c r="V21" i="10"/>
  <c r="S22" i="9"/>
  <c r="T21" i="9"/>
  <c r="S22" i="8"/>
  <c r="T21" i="8"/>
  <c r="S22" i="4"/>
  <c r="T21" i="4"/>
  <c r="S22" i="6"/>
  <c r="T21" i="6"/>
  <c r="S22" i="7"/>
  <c r="T21" i="7"/>
  <c r="S22" i="3"/>
  <c r="T21" i="3"/>
  <c r="AM8" i="2" s="1"/>
  <c r="T22" i="15" l="1"/>
  <c r="U21" i="15"/>
  <c r="T22" i="14"/>
  <c r="U21" i="14"/>
  <c r="T22" i="13"/>
  <c r="U21" i="13"/>
  <c r="T22" i="12"/>
  <c r="U21" i="12"/>
  <c r="T22" i="11"/>
  <c r="U21" i="11"/>
  <c r="V22" i="10"/>
  <c r="W21" i="10"/>
  <c r="T22" i="9"/>
  <c r="U21" i="9"/>
  <c r="T22" i="8"/>
  <c r="U21" i="8"/>
  <c r="T22" i="7"/>
  <c r="U21" i="7"/>
  <c r="T22" i="6"/>
  <c r="U21" i="6"/>
  <c r="T22" i="4"/>
  <c r="U21" i="4"/>
  <c r="T22" i="3"/>
  <c r="U21" i="3"/>
  <c r="AN8" i="2" s="1"/>
  <c r="U22" i="15" l="1"/>
  <c r="V21" i="15"/>
  <c r="U22" i="14"/>
  <c r="V21" i="14"/>
  <c r="U22" i="13"/>
  <c r="V21" i="13"/>
  <c r="U22" i="12"/>
  <c r="V21" i="12"/>
  <c r="U22" i="11"/>
  <c r="V21" i="11"/>
  <c r="W22" i="10"/>
  <c r="X21" i="10"/>
  <c r="U22" i="9"/>
  <c r="V21" i="9"/>
  <c r="U22" i="8"/>
  <c r="V21" i="8"/>
  <c r="U22" i="4"/>
  <c r="V21" i="4"/>
  <c r="U22" i="6"/>
  <c r="V21" i="6"/>
  <c r="U22" i="7"/>
  <c r="V21" i="7"/>
  <c r="V21" i="3"/>
  <c r="AO8" i="2" s="1"/>
  <c r="U22" i="3"/>
  <c r="V22" i="15" l="1"/>
  <c r="W21" i="15"/>
  <c r="V22" i="14"/>
  <c r="W21" i="14"/>
  <c r="V22" i="13"/>
  <c r="W21" i="13"/>
  <c r="V22" i="12"/>
  <c r="W21" i="12"/>
  <c r="V22" i="11"/>
  <c r="W21" i="11"/>
  <c r="X22" i="10"/>
  <c r="Y21" i="10"/>
  <c r="X20" i="10"/>
  <c r="V22" i="9"/>
  <c r="W21" i="9"/>
  <c r="V22" i="8"/>
  <c r="W21" i="8"/>
  <c r="V22" i="7"/>
  <c r="W21" i="7"/>
  <c r="V22" i="6"/>
  <c r="W21" i="6"/>
  <c r="V22" i="4"/>
  <c r="W21" i="4"/>
  <c r="W21" i="3"/>
  <c r="AP8" i="2" s="1"/>
  <c r="V22" i="3"/>
  <c r="W22" i="15" l="1"/>
  <c r="X21" i="15"/>
  <c r="W22" i="14"/>
  <c r="X21" i="14"/>
  <c r="W22" i="13"/>
  <c r="X21" i="13"/>
  <c r="W22" i="12"/>
  <c r="X21" i="12"/>
  <c r="W22" i="11"/>
  <c r="X21" i="11"/>
  <c r="Y22" i="10"/>
  <c r="Z21" i="10"/>
  <c r="W22" i="9"/>
  <c r="X21" i="9"/>
  <c r="W22" i="8"/>
  <c r="X21" i="8"/>
  <c r="W22" i="4"/>
  <c r="X21" i="4"/>
  <c r="W22" i="6"/>
  <c r="X21" i="6"/>
  <c r="W22" i="7"/>
  <c r="X21" i="7"/>
  <c r="X21" i="3"/>
  <c r="AQ8" i="2" s="1"/>
  <c r="W22" i="3"/>
  <c r="X22" i="15" l="1"/>
  <c r="Y21" i="15"/>
  <c r="X20" i="15"/>
  <c r="X22" i="14"/>
  <c r="Y21" i="14"/>
  <c r="X20" i="14"/>
  <c r="X22" i="13"/>
  <c r="Y21" i="13"/>
  <c r="X20" i="13"/>
  <c r="X22" i="12"/>
  <c r="Y21" i="12"/>
  <c r="X20" i="12"/>
  <c r="X22" i="11"/>
  <c r="Y21" i="11"/>
  <c r="X20" i="11"/>
  <c r="Z22" i="10"/>
  <c r="AA21" i="10"/>
  <c r="X22" i="9"/>
  <c r="Y21" i="9"/>
  <c r="X20" i="9"/>
  <c r="X22" i="8"/>
  <c r="Y21" i="8"/>
  <c r="X20" i="8"/>
  <c r="X22" i="7"/>
  <c r="Y21" i="7"/>
  <c r="X20" i="7"/>
  <c r="X22" i="6"/>
  <c r="Y21" i="6"/>
  <c r="X20" i="6"/>
  <c r="X22" i="4"/>
  <c r="Y21" i="4"/>
  <c r="X20" i="4"/>
  <c r="X20" i="3"/>
  <c r="X22" i="3"/>
  <c r="Y21" i="3"/>
  <c r="AR8" i="2" s="1"/>
  <c r="Y22" i="15" l="1"/>
  <c r="Z21" i="15"/>
  <c r="Y22" i="14"/>
  <c r="Z21" i="14"/>
  <c r="Y22" i="13"/>
  <c r="Z21" i="13"/>
  <c r="Y22" i="12"/>
  <c r="Z21" i="12"/>
  <c r="Y22" i="11"/>
  <c r="Z21" i="11"/>
  <c r="AA22" i="10"/>
  <c r="AB21" i="10"/>
  <c r="Y22" i="9"/>
  <c r="Z21" i="9"/>
  <c r="Y22" i="8"/>
  <c r="Z21" i="8"/>
  <c r="Y22" i="4"/>
  <c r="Z21" i="4"/>
  <c r="Y22" i="6"/>
  <c r="Z21" i="6"/>
  <c r="Y22" i="7"/>
  <c r="Z21" i="7"/>
  <c r="Z21" i="3"/>
  <c r="AS8" i="2" s="1"/>
  <c r="Y22" i="3"/>
  <c r="Z22" i="15" l="1"/>
  <c r="AA21" i="15"/>
  <c r="Z22" i="14"/>
  <c r="AA21" i="14"/>
  <c r="Z22" i="13"/>
  <c r="AA21" i="13"/>
  <c r="Z22" i="12"/>
  <c r="AA21" i="12"/>
  <c r="Z22" i="11"/>
  <c r="AA21" i="11"/>
  <c r="AB22" i="10"/>
  <c r="AC21" i="10"/>
  <c r="Z22" i="9"/>
  <c r="AA21" i="9"/>
  <c r="Z22" i="8"/>
  <c r="AA21" i="8"/>
  <c r="Z22" i="7"/>
  <c r="AA21" i="7"/>
  <c r="Z22" i="6"/>
  <c r="AA21" i="6"/>
  <c r="Z22" i="4"/>
  <c r="AA21" i="4"/>
  <c r="Z22" i="3"/>
  <c r="AA21" i="3"/>
  <c r="AT8" i="2" s="1"/>
  <c r="AA22" i="15" l="1"/>
  <c r="AB21" i="15"/>
  <c r="AA22" i="14"/>
  <c r="AB21" i="14"/>
  <c r="AA22" i="13"/>
  <c r="AB21" i="13"/>
  <c r="AA22" i="12"/>
  <c r="AB21" i="12"/>
  <c r="AA22" i="11"/>
  <c r="AB21" i="11"/>
  <c r="AC22" i="10"/>
  <c r="AD21" i="10"/>
  <c r="AA22" i="9"/>
  <c r="AB21" i="9"/>
  <c r="AA22" i="8"/>
  <c r="AB21" i="8"/>
  <c r="AA22" i="4"/>
  <c r="AB21" i="4"/>
  <c r="AA22" i="6"/>
  <c r="AB21" i="6"/>
  <c r="AA22" i="7"/>
  <c r="AB21" i="7"/>
  <c r="AA22" i="3"/>
  <c r="AB21" i="3"/>
  <c r="AU8" i="2" s="1"/>
  <c r="AB22" i="15" l="1"/>
  <c r="AC21" i="15"/>
  <c r="AB22" i="14"/>
  <c r="AC21" i="14"/>
  <c r="AB22" i="13"/>
  <c r="AC21" i="13"/>
  <c r="AB22" i="12"/>
  <c r="AC21" i="12"/>
  <c r="AB22" i="11"/>
  <c r="AC21" i="11"/>
  <c r="AD22" i="10"/>
  <c r="AE21" i="10"/>
  <c r="AB22" i="9"/>
  <c r="AC21" i="9"/>
  <c r="AB22" i="8"/>
  <c r="AC21" i="8"/>
  <c r="AB22" i="7"/>
  <c r="AC21" i="7"/>
  <c r="AB22" i="6"/>
  <c r="AC21" i="6"/>
  <c r="AB22" i="4"/>
  <c r="AC21" i="4"/>
  <c r="AB22" i="3"/>
  <c r="AC21" i="3"/>
  <c r="AV8" i="2" s="1"/>
  <c r="AC22" i="15" l="1"/>
  <c r="AD21" i="15"/>
  <c r="AC22" i="14"/>
  <c r="AD21" i="14"/>
  <c r="AC22" i="13"/>
  <c r="AD21" i="13"/>
  <c r="AC22" i="12"/>
  <c r="AD21" i="12"/>
  <c r="AC22" i="11"/>
  <c r="AD21" i="11"/>
  <c r="AE22" i="10"/>
  <c r="AF21" i="10"/>
  <c r="AC22" i="9"/>
  <c r="AD21" i="9"/>
  <c r="AC22" i="8"/>
  <c r="AD21" i="8"/>
  <c r="AC22" i="4"/>
  <c r="AD21" i="4"/>
  <c r="AC22" i="6"/>
  <c r="AD21" i="6"/>
  <c r="AC22" i="7"/>
  <c r="AD21" i="7"/>
  <c r="AD21" i="3"/>
  <c r="AC22" i="3"/>
  <c r="AD22" i="15" l="1"/>
  <c r="AE21" i="15"/>
  <c r="AD22" i="14"/>
  <c r="AE21" i="14"/>
  <c r="AD22" i="13"/>
  <c r="AE21" i="13"/>
  <c r="AD22" i="12"/>
  <c r="AE21" i="12"/>
  <c r="AD22" i="11"/>
  <c r="AE21" i="11"/>
  <c r="AF22" i="10"/>
  <c r="AG21" i="10"/>
  <c r="AG22" i="10" s="1"/>
  <c r="AD22" i="9"/>
  <c r="AE21" i="9"/>
  <c r="AD22" i="8"/>
  <c r="AE21" i="8"/>
  <c r="AD22" i="7"/>
  <c r="AE21" i="7"/>
  <c r="AD22" i="6"/>
  <c r="AE21" i="6"/>
  <c r="AE20" i="6" s="1"/>
  <c r="AD22" i="4"/>
  <c r="AE21" i="4"/>
  <c r="AE21" i="3"/>
  <c r="AW8" i="2"/>
  <c r="AD22" i="3"/>
  <c r="AE22" i="15" l="1"/>
  <c r="AF21" i="15"/>
  <c r="AE22" i="14"/>
  <c r="AF21" i="14"/>
  <c r="AE22" i="13"/>
  <c r="AF21" i="13"/>
  <c r="AE22" i="12"/>
  <c r="AF21" i="12"/>
  <c r="AE22" i="11"/>
  <c r="AF21" i="11"/>
  <c r="AE22" i="9"/>
  <c r="AF21" i="9"/>
  <c r="AE22" i="8"/>
  <c r="AF21" i="8"/>
  <c r="AE22" i="4"/>
  <c r="AF21" i="4"/>
  <c r="AE22" i="6"/>
  <c r="AF21" i="6"/>
  <c r="AE22" i="7"/>
  <c r="AF21" i="7"/>
  <c r="AE20" i="3"/>
  <c r="AX8" i="2"/>
  <c r="AF21" i="3"/>
  <c r="AY8" i="2" s="1"/>
  <c r="AE22" i="3"/>
  <c r="AF22" i="15" l="1"/>
  <c r="AG21" i="15"/>
  <c r="AG22" i="15" s="1"/>
  <c r="AF22" i="14"/>
  <c r="AG21" i="14"/>
  <c r="AG22" i="14" s="1"/>
  <c r="AF22" i="13"/>
  <c r="AG21" i="13"/>
  <c r="AG22" i="13" s="1"/>
  <c r="AF22" i="12"/>
  <c r="AG21" i="12"/>
  <c r="AG22" i="12" s="1"/>
  <c r="AF22" i="11"/>
  <c r="AG21" i="11"/>
  <c r="AG22" i="11" s="1"/>
  <c r="AF22" i="9"/>
  <c r="AG21" i="9"/>
  <c r="AG22" i="9" s="1"/>
  <c r="AF22" i="8"/>
  <c r="AG21" i="8"/>
  <c r="AG22" i="8" s="1"/>
  <c r="AF22" i="7"/>
  <c r="AG21" i="7"/>
  <c r="AG22" i="7" s="1"/>
  <c r="AF22" i="6"/>
  <c r="AG21" i="6"/>
  <c r="AG22" i="6" s="1"/>
  <c r="AF22" i="4"/>
  <c r="AG21" i="4"/>
  <c r="AG22" i="4" s="1"/>
  <c r="AG21" i="3"/>
  <c r="AF22" i="3"/>
  <c r="AG22" i="3" l="1"/>
  <c r="AZ8" i="2"/>
  <c r="J22" i="4"/>
  <c r="J2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<sst xmlns="http://schemas.openxmlformats.org/spreadsheetml/2006/main" count="438" uniqueCount="56">
  <si>
    <t>MONTH LINK</t>
  </si>
  <si>
    <t>January</t>
  </si>
  <si>
    <t>TOTAL PROGRESS:</t>
  </si>
  <si>
    <t>100% Complete</t>
  </si>
  <si>
    <t>50% Complete</t>
  </si>
  <si>
    <t>0% Complete</t>
  </si>
  <si>
    <t>Weekly Progress</t>
  </si>
  <si>
    <t>Week1</t>
  </si>
  <si>
    <t>Week2</t>
  </si>
  <si>
    <t>Week3</t>
  </si>
  <si>
    <t>Week4</t>
  </si>
  <si>
    <t>Week5</t>
  </si>
  <si>
    <t>Habits</t>
  </si>
  <si>
    <t>Complete</t>
  </si>
  <si>
    <t>Enter Your Habit</t>
  </si>
  <si>
    <t>b</t>
  </si>
  <si>
    <t>c</t>
  </si>
  <si>
    <t>d</t>
  </si>
  <si>
    <t>e</t>
  </si>
  <si>
    <t>f</t>
  </si>
  <si>
    <t>g</t>
  </si>
  <si>
    <t>hh</t>
  </si>
  <si>
    <t>i</t>
  </si>
  <si>
    <t>j</t>
  </si>
  <si>
    <t>k</t>
  </si>
  <si>
    <t>l</t>
  </si>
  <si>
    <t>m</t>
  </si>
  <si>
    <t>Task Complete</t>
  </si>
  <si>
    <t>Progress %</t>
  </si>
  <si>
    <t>Best Habit</t>
  </si>
  <si>
    <t>Worst Habit</t>
  </si>
  <si>
    <t>February</t>
  </si>
  <si>
    <t>a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</si>
  <si>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</si>
  <si>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</si>
  <si>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</si>
  <si>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</si>
  <si>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</si>
  <si>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</si>
  <si>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</si>
  <si>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</si>
  <si>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</si>
  <si>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</si>
  <si>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DECEMBER</t>
  </si>
  <si>
    <t>NOVEMBER</t>
  </si>
  <si>
    <t>OCTOBER</t>
  </si>
  <si>
    <t>september</t>
  </si>
  <si>
    <t>ORIGI</t>
  </si>
  <si>
    <t>AUGUST</t>
  </si>
  <si>
    <t>JULY</t>
  </si>
  <si>
    <t>MONTH</t>
  </si>
  <si>
    <t>march</t>
  </si>
  <si>
    <t>aprli</t>
  </si>
  <si>
    <t>may</t>
  </si>
  <si>
    <t>june</t>
  </si>
  <si>
    <t>Januay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</si>
</sst>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d"/>
    <numFmt numFmtId="166" formatCode="[$-409]dd\-mmm\-yy;@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20"/>
      <color theme="1"/>
      <name val="Arial Black"/>
      <family val="2"/>
    </font>
    <font>
      <sz val="22"/>
      <color theme="0"/>
      <name val="Verdana"/>
      <family val="2"/>
    </font>
    <font>
      <b/>
      <sz val="30"/>
      <color theme="0"/>
      <name val="Aparajita"/>
      <family val="1"/>
    </font>
    <font>
      <sz val="11"/>
      <color theme="4" tint="-0.499984740745262"/>
      <name val="Calibri"/>
      <family val="2"/>
      <scheme val="minor"/>
    </font>
    <font>
      <sz val="11"/>
      <color theme="1"/>
      <name val="Verdana"/>
      <family val="2"/>
    </font>
    <font>
      <sz val="11"/>
      <color rgb="FF000000"/>
      <name val="Calibri"/>
      <family val="2"/>
      <scheme val="minor"/>
    </font>
    <font>
      <sz val="22"/>
      <color theme="0"/>
      <name val="Verdana"/>
    </font>
    <font>
      <sz val="14"/>
      <color theme="1"/>
      <name val="Calibri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5" borderId="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5" borderId="9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5" borderId="6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5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5" borderId="6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5" borderId="8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5" borderId="3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4" borderId="0" xfId="0" applyNumberForma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0" fontId="12" fillId="2" borderId="0" xfId="0" applyNumberFormat="1" applyFont="1" applyFill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4" fillId="0" borderId="0" xfId="1"/>
    <xf numFmtId="166" fontId="0" fillId="0" borderId="0" xfId="0" applyNumberFormat="1"/>
    <xf numFmtId="0" fontId="0" fillId="0" borderId="3" xfId="0" applyBorder="1"/>
    <xf numFmtId="0" fontId="0" fillId="0" borderId="5" xfId="0" applyBorder="1"/>
    <xf numFmtId="0" fontId="0" fillId="0" borderId="6" xfId="0" applyBorder="1"/>
    <xf numFmtId="9" fontId="0" fillId="0" borderId="7" xfId="0" applyNumberFormat="1" applyBorder="1" applyAlignment="1"/>
    <xf numFmtId="10" fontId="0" fillId="0" borderId="7" xfId="0" applyNumberFormat="1" applyBorder="1"/>
    <xf numFmtId="0" fontId="0" fillId="0" borderId="8" xfId="0" applyBorder="1"/>
    <xf numFmtId="10" fontId="0" fillId="0" borderId="10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8" fillId="4" borderId="0" xfId="0" applyNumberFormat="1" applyFon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0" fontId="0" fillId="0" borderId="14" xfId="0" applyBorder="1"/>
    <xf numFmtId="164" fontId="0" fillId="0" borderId="14" xfId="0" applyNumberFormat="1" applyBorder="1"/>
    <xf numFmtId="0" fontId="14" fillId="0" borderId="0" xfId="1" applyAlignment="1">
      <alignment wrapText="1"/>
    </xf>
    <xf numFmtId="0" fontId="0" fillId="4" borderId="0" xfId="0" applyFill="1"/>
    <xf numFmtId="0" fontId="14" fillId="5" borderId="0" xfId="1" applyFill="1"/>
    <xf numFmtId="0" fontId="0" fillId="0" borderId="0" xfId="0" applyAlignment="1">
      <alignment wrapText="1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9" fontId="0" fillId="5" borderId="8" xfId="0" applyNumberFormat="1" applyFill="1" applyBorder="1" applyAlignment="1">
      <alignment horizontal="center" vertical="center"/>
    </xf>
    <xf numFmtId="9" fontId="0" fillId="5" borderId="9" xfId="0" applyNumberFormat="1" applyFill="1" applyBorder="1" applyAlignment="1">
      <alignment horizontal="center" vertical="center"/>
    </xf>
    <xf numFmtId="9" fontId="0" fillId="5" borderId="10" xfId="0" applyNumberForma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9" fontId="0" fillId="5" borderId="8" xfId="0" applyNumberFormat="1" applyFill="1" applyBorder="1" applyAlignment="1">
      <alignment horizontal="center" vertical="center"/>
    </xf>
    <xf numFmtId="9" fontId="0" fillId="5" borderId="9" xfId="0" applyNumberFormat="1" applyFill="1" applyBorder="1" applyAlignment="1">
      <alignment horizontal="center" vertical="center"/>
    </xf>
    <xf numFmtId="9" fontId="0" fillId="5" borderId="10" xfId="0" applyNumberForma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  <color rgb="FFCC99FF"/>
      <color rgb="FFCC66FF"/>
      <color rgb="FF9900CC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YEAR TRACKER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Sheet2!$S$12:$S$23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Sheet2!$T$12:$T$23</c:f>
              <c:numCache>
                <c:formatCode>General</c:formatCode>
                <c:ptCount val="12"/>
                <c:pt idx="0">
                  <c:v>349</c:v>
                </c:pt>
                <c:pt idx="1">
                  <c:v>343</c:v>
                </c:pt>
                <c:pt idx="2">
                  <c:v>341</c:v>
                </c:pt>
                <c:pt idx="3">
                  <c:v>352</c:v>
                </c:pt>
                <c:pt idx="4">
                  <c:v>352</c:v>
                </c:pt>
                <c:pt idx="5">
                  <c:v>352</c:v>
                </c:pt>
                <c:pt idx="6">
                  <c:v>352</c:v>
                </c:pt>
                <c:pt idx="7">
                  <c:v>352</c:v>
                </c:pt>
                <c:pt idx="8">
                  <c:v>352</c:v>
                </c:pt>
                <c:pt idx="9">
                  <c:v>352</c:v>
                </c:pt>
                <c:pt idx="10">
                  <c:v>352</c:v>
                </c:pt>
                <c:pt idx="11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0-4D3E-8F23-A0F73B2DC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3191815"/>
        <c:axId val="1923193863"/>
      </c:barChart>
      <c:catAx>
        <c:axId val="1923191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193863"/>
        <c:crosses val="autoZero"/>
        <c:auto val="1"/>
        <c:lblAlgn val="ctr"/>
        <c:lblOffset val="100"/>
        <c:noMultiLvlLbl val="0"/>
      </c:catAx>
      <c:valAx>
        <c:axId val="1923193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191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JANUARY!$C$39:$AG$39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0.46153846153846156</c:v>
                </c:pt>
                <c:pt idx="3">
                  <c:v>0.30769230769230771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0.92307692307692313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2-40B3-8369-87E4437BC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28-4FFF-8DD7-666E4B8AB86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28-4FFF-8DD7-666E4B8AB86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28-4FFF-8DD7-666E4B8AB86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28-4FFF-8DD7-666E4B8AB86D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28-4FFF-8DD7-666E4B8AB86D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28-4FFF-8DD7-666E4B8AB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B-4298-B42B-37A221B6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2-4A93-9E74-428FA9187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8-4734-BBB3-A81B30E6F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E-4181-8E4F-2F1BDE091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1-44BC-9A58-171E17FC9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5-4199-972C-D5863EB70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D0-43A6-94F3-DAC78CBF8EF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D0-43A6-94F3-DAC78CBF8EF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D0-43A6-94F3-DAC78CBF8EF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D0-43A6-94F3-DAC78CBF8EFA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9DD0-43A6-94F3-DAC78CBF8EFA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D0-43A6-94F3-DAC78CBF8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7-43A3-9CAC-85A8F0374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3-4688-B52F-72BED5007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A-4E37-974E-90C4E484F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8-41C0-A7AD-6B8CF9948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B-4A8A-85E4-DACF02E05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A-4FD6-AC78-79BAE5A18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5F-4FDF-AD44-D90A6CD2ACB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5F-4FDF-AD44-D90A6CD2ACB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5F-4FDF-AD44-D90A6CD2ACB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D5F-4FDF-AD44-D90A6CD2ACB0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D5F-4FDF-AD44-D90A6CD2ACB0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5F-4FDF-AD44-D90A6CD2A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B-46C5-9083-84425FC2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D-499C-A575-BD57402D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0-4664-B154-AD740BE26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6-4D9C-BD3D-FBA2688A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6-49CD-8E50-35652E6BD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8-4F2D-9219-B6F6256B5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9C-487A-A006-4EC0014485FF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9C-487A-A006-4EC0014485FF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9C-487A-A006-4EC0014485FF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9C-487A-A006-4EC0014485FF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7E9C-487A-A006-4EC0014485FF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9C-487A-A006-4EC001448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1-4F45-9E15-325D4178A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6-4FA3-BE50-3EF9D35F1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2-4069-BD63-880F6B613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2-4D84-8A14-74592265F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E-4E36-BAE3-422BB3863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2-4117-94A4-620FE2B1C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31-4984-B4D9-A87B3D0232F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1-4984-B4D9-A87B3D0232F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31-4984-B4D9-A87B3D0232F5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D731-4984-B4D9-A87B3D0232F5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31-4984-B4D9-A87B3D0232F5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31-4984-B4D9-A87B3D023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6-4BDB-AED0-264BC682B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F-4388-9FD7-13D2E198C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A-41EA-A4E2-42C86FDC7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C-4802-8949-671FE1877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6-45D5-9D15-FC3E252A9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1-42B9-A73E-5DC79F2D2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C1-413D-B2E2-42D1A874A262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C1-413D-B2E2-42D1A874A262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85C1-413D-B2E2-42D1A874A262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5C1-413D-B2E2-42D1A874A262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5C1-413D-B2E2-42D1A874A262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C1-413D-B2E2-42D1A874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6-49D6-9421-FBCAB7640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0-4C79-AE62-4F940D6D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4-44FC-9F38-2D97B0D4D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7-492E-987D-3917B2D1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B-4F17-BB45-BCB5EE17B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3-4E10-8460-974C1FD85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18-4701-AE48-7D27BD316568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18-4701-AE48-7D27BD316568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18-4701-AE48-7D27BD316568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18-4701-AE48-7D27BD316568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618-4701-AE48-7D27BD316568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18-4701-AE48-7D27BD316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B-42A5-B073-4BCA1B5BA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9-49C6-8BD7-B3F5BD04F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9-4273-912D-4D34ABE9F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3-46D1-8D97-2DBA2622A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7-4FC0-86C1-5D5B8D3E2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2-45A0-9626-C2FC35EEA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20-44D6-A94E-FA20E9C8392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20-44D6-A94E-FA20E9C8392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20-44D6-A94E-FA20E9C83924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20-44D6-A94E-FA20E9C83924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20-44D6-A94E-FA20E9C83924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20-44D6-A94E-FA20E9C83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9-4A2A-AC64-A9EAFD0B4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0-4023-A4C6-29FF0E771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E-4B37-8F23-B8B8618EB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E-46D8-8858-7B6AC3DE2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3-464D-9A4E-8EF051AE8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F-4A8C-822B-4D1ADCBFE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A8-4582-96E9-56D539CAB79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A8-4582-96E9-56D539CAB79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A8-4582-96E9-56D539CAB79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A8-4582-96E9-56D539CAB79A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A8-4582-96E9-56D539CAB79A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A8-4582-96E9-56D539CAB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C-4F56-AB4F-9640A8153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1-4C6E-9F96-39C5AAAA2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8-4A08-89A4-2F555CA2E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B-4A2A-8443-A9F96B711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C-448B-97E5-D1813900B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0-4C21-A6B8-C77B70C45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E7-4F6D-8C16-62D97B759E0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E7-4F6D-8C16-62D97B759E0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E7-4F6D-8C16-62D97B759E0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E7-4F6D-8C16-62D97B759E03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3E7-4F6D-8C16-62D97B759E03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E7-4F6D-8C16-62D97B759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1-41C6-8405-208C9FB76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C-472D-A32F-75B651D2C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9-46AB-9290-36986AE6A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E-451B-A825-DCE418F65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2-459F-9523-51D9BD10C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0-446D-84F7-CA4E7938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5F-4A5A-8CED-1F1836C91D0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F-4A5A-8CED-1F1836C91D0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5F-4A5A-8CED-1F1836C91D09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5F-4A5A-8CED-1F1836C91D09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5F-4A5A-8CED-1F1836C91D09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5F-4A5A-8CED-1F1836C91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5-4E42-91A7-0DE34C09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2-4E0F-AA01-A9F838AB5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4-4046-A9D8-29A2C32F9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2-4EB5-A0B9-94479A778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5-4FB8-9994-B97F4308D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HABIT TRACKER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val>
            <c:numRef>
              <c:f>'FEBRUARY(OR)'!$C$39:$AG$39</c:f>
              <c:numCache>
                <c:formatCode>0%</c:formatCode>
                <c:ptCount val="31"/>
                <c:pt idx="0">
                  <c:v>0</c:v>
                </c:pt>
                <c:pt idx="1">
                  <c:v>0.61538461538461542</c:v>
                </c:pt>
                <c:pt idx="2">
                  <c:v>0.53846153846153844</c:v>
                </c:pt>
                <c:pt idx="3">
                  <c:v>0.38461538461538464</c:v>
                </c:pt>
                <c:pt idx="4">
                  <c:v>0.46153846153846156</c:v>
                </c:pt>
                <c:pt idx="5">
                  <c:v>0.30769230769230771</c:v>
                </c:pt>
                <c:pt idx="6">
                  <c:v>1</c:v>
                </c:pt>
                <c:pt idx="7">
                  <c:v>0.92307692307692313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0.76923076923076927</c:v>
                </c:pt>
                <c:pt idx="12">
                  <c:v>0.92307692307692313</c:v>
                </c:pt>
                <c:pt idx="13">
                  <c:v>0.61538461538461542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0.92307692307692313</c:v>
                </c:pt>
                <c:pt idx="23">
                  <c:v>1</c:v>
                </c:pt>
                <c:pt idx="24">
                  <c:v>0.92307692307692313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0.92307692307692313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4-42A8-A1A7-1F39FAF92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36327"/>
        <c:axId val="1726138375"/>
      </c:lineChart>
      <c:catAx>
        <c:axId val="1726136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726138375"/>
        <c:crosses val="autoZero"/>
        <c:auto val="1"/>
        <c:lblAlgn val="ctr"/>
        <c:lblOffset val="100"/>
        <c:noMultiLvlLbl val="0"/>
      </c:catAx>
      <c:valAx>
        <c:axId val="17261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26136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9966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Week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5B-42F9-85EF-E268A6B9388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5B-42F9-85EF-E268A6B9388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5B-42F9-85EF-E268A6B9388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5B-42F9-85EF-E268A6B9388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235B-42F9-85EF-E268A6B93881}"/>
              </c:ext>
            </c:extLst>
          </c:dPt>
          <c:cat>
            <c:strRef>
              <c:f>Sheet2!$B$15:$B$19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Sheet2!$C$15:$C$19</c:f>
              <c:numCache>
                <c:formatCode>0.00%</c:formatCode>
                <c:ptCount val="5"/>
                <c:pt idx="0" formatCode="0%">
                  <c:v>0.48351648351648352</c:v>
                </c:pt>
                <c:pt idx="1">
                  <c:v>0.89010989010989006</c:v>
                </c:pt>
                <c:pt idx="2">
                  <c:v>1</c:v>
                </c:pt>
                <c:pt idx="3">
                  <c:v>0.97802197802197799</c:v>
                </c:pt>
                <c:pt idx="4">
                  <c:v>0.97435897435897434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5B-42F9-85EF-E268A6B93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CC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Sheet2!$U$8:$AA$8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Sheet2!$U$9:$AA$9</c:f>
              <c:numCache>
                <c:formatCode>General</c:formatCode>
                <c:ptCount val="7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7-4C31-AE21-84FC4AF22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609735"/>
        <c:axId val="1262150151"/>
      </c:barChart>
      <c:catAx>
        <c:axId val="10016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50151"/>
        <c:crosses val="autoZero"/>
        <c:auto val="1"/>
        <c:lblAlgn val="ctr"/>
        <c:lblOffset val="100"/>
        <c:noMultiLvlLbl val="0"/>
      </c:catAx>
      <c:valAx>
        <c:axId val="126215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Week2</a:t>
            </a:r>
          </a:p>
        </c:rich>
      </c:tx>
      <c:layout>
        <c:manualLayout>
          <c:xMode val="edge"/>
          <c:yMode val="edge"/>
          <c:x val="0.4048140385001619"/>
          <c:y val="5.990349958484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Sheet2!$AC$8:$AI$8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Sheet2!$AC$9:$AI$9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3-44D6-8193-FE4F16D0C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2872"/>
        <c:axId val="1322008584"/>
      </c:barChart>
      <c:catAx>
        <c:axId val="12774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8584"/>
        <c:crosses val="autoZero"/>
        <c:auto val="1"/>
        <c:lblAlgn val="ctr"/>
        <c:lblOffset val="100"/>
        <c:noMultiLvlLbl val="0"/>
      </c:catAx>
      <c:valAx>
        <c:axId val="132200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Sheet2!$AJ$8:$AP$8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Sheet2!$AJ$9:$AP$9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B-4DE6-8BCC-38E80A259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799944"/>
        <c:axId val="1425285640"/>
      </c:barChart>
      <c:catAx>
        <c:axId val="1413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85640"/>
        <c:crosses val="autoZero"/>
        <c:auto val="1"/>
        <c:lblAlgn val="ctr"/>
        <c:lblOffset val="100"/>
        <c:noMultiLvlLbl val="0"/>
      </c:catAx>
      <c:valAx>
        <c:axId val="1425285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Sheet2!$AX$8:$AZ$8</c:f>
              <c:strCache>
                <c:ptCount val="3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</c:strCache>
            </c:strRef>
          </c:cat>
          <c:val>
            <c:numRef>
              <c:f>Sheet2!$AX$9:$AZ$9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7-4877-BEDA-FE5BDB76C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413384"/>
        <c:axId val="1322009096"/>
      </c:barChart>
      <c:catAx>
        <c:axId val="127741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9096"/>
        <c:crosses val="autoZero"/>
        <c:auto val="1"/>
        <c:lblAlgn val="ctr"/>
        <c:lblOffset val="100"/>
        <c:noMultiLvlLbl val="0"/>
      </c:catAx>
      <c:valAx>
        <c:axId val="13220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Sheet2!$AQ$8:$AW$8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Sheet2!$AQ$9:$AW$9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9-4D0B-AAE0-19EB6E391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792520"/>
        <c:axId val="1737815560"/>
      </c:barChart>
      <c:catAx>
        <c:axId val="17377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15560"/>
        <c:crosses val="autoZero"/>
        <c:auto val="1"/>
        <c:lblAlgn val="ctr"/>
        <c:lblOffset val="100"/>
        <c:noMultiLvlLbl val="0"/>
      </c:catAx>
      <c:valAx>
        <c:axId val="173781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9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99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customXml" Target="../ink/ink8.xml"/><Relationship Id="rId18" Type="http://schemas.openxmlformats.org/officeDocument/2006/relationships/chart" Target="../charts/chart6.xml"/><Relationship Id="rId7" Type="http://schemas.openxmlformats.org/officeDocument/2006/relationships/image" Target="../media/image3.png"/><Relationship Id="rId12" Type="http://schemas.openxmlformats.org/officeDocument/2006/relationships/customXml" Target="../ink/ink7.xml"/><Relationship Id="rId17" Type="http://schemas.openxmlformats.org/officeDocument/2006/relationships/chart" Target="../charts/chart5.xml"/><Relationship Id="rId2" Type="http://schemas.openxmlformats.org/officeDocument/2006/relationships/customXml" Target="../ink/ink1.xml"/><Relationship Id="rId16" Type="http://schemas.openxmlformats.org/officeDocument/2006/relationships/chart" Target="../charts/chart4.xml"/><Relationship Id="rId20" Type="http://schemas.openxmlformats.org/officeDocument/2006/relationships/chart" Target="../charts/chart8.xml"/><Relationship Id="rId1" Type="http://schemas.openxmlformats.org/officeDocument/2006/relationships/chart" Target="../charts/chart2.xml"/><Relationship Id="rId6" Type="http://schemas.openxmlformats.org/officeDocument/2006/relationships/customXml" Target="../ink/ink2.xml"/><Relationship Id="rId11" Type="http://schemas.openxmlformats.org/officeDocument/2006/relationships/customXml" Target="../ink/ink6.xml"/><Relationship Id="rId5" Type="http://schemas.openxmlformats.org/officeDocument/2006/relationships/image" Target="../media/image2.png"/><Relationship Id="rId15" Type="http://schemas.openxmlformats.org/officeDocument/2006/relationships/chart" Target="../charts/chart3.xml"/><Relationship Id="rId10" Type="http://schemas.openxmlformats.org/officeDocument/2006/relationships/customXml" Target="../ink/ink5.xml"/><Relationship Id="rId19" Type="http://schemas.openxmlformats.org/officeDocument/2006/relationships/chart" Target="../charts/chart7.xml"/><Relationship Id="rId9" Type="http://schemas.openxmlformats.org/officeDocument/2006/relationships/customXml" Target="../ink/ink4.xml"/><Relationship Id="rId14" Type="http://schemas.openxmlformats.org/officeDocument/2006/relationships/customXml" Target="../ink/ink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12.xml"/><Relationship Id="rId13" Type="http://schemas.openxmlformats.org/officeDocument/2006/relationships/customXml" Target="../ink/ink17.xml"/><Relationship Id="rId18" Type="http://schemas.openxmlformats.org/officeDocument/2006/relationships/chart" Target="../charts/chart13.xml"/><Relationship Id="rId7" Type="http://schemas.openxmlformats.org/officeDocument/2006/relationships/image" Target="../media/image3.png"/><Relationship Id="rId12" Type="http://schemas.openxmlformats.org/officeDocument/2006/relationships/customXml" Target="../ink/ink16.xml"/><Relationship Id="rId17" Type="http://schemas.openxmlformats.org/officeDocument/2006/relationships/chart" Target="../charts/chart12.xml"/><Relationship Id="rId2" Type="http://schemas.openxmlformats.org/officeDocument/2006/relationships/customXml" Target="../ink/ink10.xml"/><Relationship Id="rId16" Type="http://schemas.openxmlformats.org/officeDocument/2006/relationships/chart" Target="../charts/chart11.xml"/><Relationship Id="rId20" Type="http://schemas.openxmlformats.org/officeDocument/2006/relationships/chart" Target="../charts/chart15.xml"/><Relationship Id="rId1" Type="http://schemas.openxmlformats.org/officeDocument/2006/relationships/chart" Target="../charts/chart9.xml"/><Relationship Id="rId6" Type="http://schemas.openxmlformats.org/officeDocument/2006/relationships/customXml" Target="../ink/ink11.xml"/><Relationship Id="rId11" Type="http://schemas.openxmlformats.org/officeDocument/2006/relationships/customXml" Target="../ink/ink15.xml"/><Relationship Id="rId5" Type="http://schemas.openxmlformats.org/officeDocument/2006/relationships/image" Target="../media/image2.png"/><Relationship Id="rId15" Type="http://schemas.openxmlformats.org/officeDocument/2006/relationships/chart" Target="../charts/chart10.xml"/><Relationship Id="rId10" Type="http://schemas.openxmlformats.org/officeDocument/2006/relationships/customXml" Target="../ink/ink14.xml"/><Relationship Id="rId19" Type="http://schemas.openxmlformats.org/officeDocument/2006/relationships/chart" Target="../charts/chart14.xml"/><Relationship Id="rId9" Type="http://schemas.openxmlformats.org/officeDocument/2006/relationships/customXml" Target="../ink/ink13.xml"/><Relationship Id="rId14" Type="http://schemas.openxmlformats.org/officeDocument/2006/relationships/customXml" Target="../ink/ink1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ustomXml" Target="../ink/ink21.xml"/><Relationship Id="rId13" Type="http://schemas.openxmlformats.org/officeDocument/2006/relationships/customXml" Target="../ink/ink26.xml"/><Relationship Id="rId18" Type="http://schemas.openxmlformats.org/officeDocument/2006/relationships/chart" Target="../charts/chart20.xml"/><Relationship Id="rId7" Type="http://schemas.openxmlformats.org/officeDocument/2006/relationships/image" Target="../media/image3.png"/><Relationship Id="rId12" Type="http://schemas.openxmlformats.org/officeDocument/2006/relationships/customXml" Target="../ink/ink25.xml"/><Relationship Id="rId17" Type="http://schemas.openxmlformats.org/officeDocument/2006/relationships/chart" Target="../charts/chart19.xml"/><Relationship Id="rId2" Type="http://schemas.openxmlformats.org/officeDocument/2006/relationships/customXml" Target="../ink/ink19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1" Type="http://schemas.openxmlformats.org/officeDocument/2006/relationships/chart" Target="../charts/chart16.xml"/><Relationship Id="rId6" Type="http://schemas.openxmlformats.org/officeDocument/2006/relationships/customXml" Target="../ink/ink20.xml"/><Relationship Id="rId11" Type="http://schemas.openxmlformats.org/officeDocument/2006/relationships/customXml" Target="../ink/ink24.xml"/><Relationship Id="rId5" Type="http://schemas.openxmlformats.org/officeDocument/2006/relationships/image" Target="../media/image2.png"/><Relationship Id="rId15" Type="http://schemas.openxmlformats.org/officeDocument/2006/relationships/chart" Target="../charts/chart17.xml"/><Relationship Id="rId10" Type="http://schemas.openxmlformats.org/officeDocument/2006/relationships/customXml" Target="../ink/ink23.xml"/><Relationship Id="rId19" Type="http://schemas.openxmlformats.org/officeDocument/2006/relationships/chart" Target="../charts/chart21.xml"/><Relationship Id="rId9" Type="http://schemas.openxmlformats.org/officeDocument/2006/relationships/customXml" Target="../ink/ink22.xml"/><Relationship Id="rId14" Type="http://schemas.openxmlformats.org/officeDocument/2006/relationships/customXml" Target="../ink/ink2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ustomXml" Target="../ink/ink30.xml"/><Relationship Id="rId13" Type="http://schemas.openxmlformats.org/officeDocument/2006/relationships/customXml" Target="../ink/ink35.xml"/><Relationship Id="rId18" Type="http://schemas.openxmlformats.org/officeDocument/2006/relationships/chart" Target="../charts/chart27.xml"/><Relationship Id="rId7" Type="http://schemas.openxmlformats.org/officeDocument/2006/relationships/image" Target="../media/image3.png"/><Relationship Id="rId12" Type="http://schemas.openxmlformats.org/officeDocument/2006/relationships/customXml" Target="../ink/ink34.xml"/><Relationship Id="rId17" Type="http://schemas.openxmlformats.org/officeDocument/2006/relationships/chart" Target="../charts/chart26.xml"/><Relationship Id="rId2" Type="http://schemas.openxmlformats.org/officeDocument/2006/relationships/customXml" Target="../ink/ink28.xml"/><Relationship Id="rId16" Type="http://schemas.openxmlformats.org/officeDocument/2006/relationships/chart" Target="../charts/chart25.xml"/><Relationship Id="rId20" Type="http://schemas.openxmlformats.org/officeDocument/2006/relationships/chart" Target="../charts/chart29.xml"/><Relationship Id="rId1" Type="http://schemas.openxmlformats.org/officeDocument/2006/relationships/chart" Target="../charts/chart23.xml"/><Relationship Id="rId6" Type="http://schemas.openxmlformats.org/officeDocument/2006/relationships/customXml" Target="../ink/ink29.xml"/><Relationship Id="rId11" Type="http://schemas.openxmlformats.org/officeDocument/2006/relationships/customXml" Target="../ink/ink33.xml"/><Relationship Id="rId5" Type="http://schemas.openxmlformats.org/officeDocument/2006/relationships/image" Target="../media/image2.png"/><Relationship Id="rId15" Type="http://schemas.openxmlformats.org/officeDocument/2006/relationships/chart" Target="../charts/chart24.xml"/><Relationship Id="rId10" Type="http://schemas.openxmlformats.org/officeDocument/2006/relationships/customXml" Target="../ink/ink32.xml"/><Relationship Id="rId19" Type="http://schemas.openxmlformats.org/officeDocument/2006/relationships/chart" Target="../charts/chart28.xml"/><Relationship Id="rId9" Type="http://schemas.openxmlformats.org/officeDocument/2006/relationships/customXml" Target="../ink/ink31.xml"/><Relationship Id="rId14" Type="http://schemas.openxmlformats.org/officeDocument/2006/relationships/customXml" Target="../ink/ink3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ustomXml" Target="../ink/ink39.xml"/><Relationship Id="rId13" Type="http://schemas.openxmlformats.org/officeDocument/2006/relationships/customXml" Target="../ink/ink44.xml"/><Relationship Id="rId18" Type="http://schemas.openxmlformats.org/officeDocument/2006/relationships/chart" Target="../charts/chart34.xml"/><Relationship Id="rId7" Type="http://schemas.openxmlformats.org/officeDocument/2006/relationships/image" Target="../media/image3.png"/><Relationship Id="rId12" Type="http://schemas.openxmlformats.org/officeDocument/2006/relationships/customXml" Target="../ink/ink43.xml"/><Relationship Id="rId17" Type="http://schemas.openxmlformats.org/officeDocument/2006/relationships/chart" Target="../charts/chart33.xml"/><Relationship Id="rId2" Type="http://schemas.openxmlformats.org/officeDocument/2006/relationships/customXml" Target="../ink/ink37.xml"/><Relationship Id="rId16" Type="http://schemas.openxmlformats.org/officeDocument/2006/relationships/chart" Target="../charts/chart32.xml"/><Relationship Id="rId20" Type="http://schemas.openxmlformats.org/officeDocument/2006/relationships/chart" Target="../charts/chart36.xml"/><Relationship Id="rId1" Type="http://schemas.openxmlformats.org/officeDocument/2006/relationships/chart" Target="../charts/chart30.xml"/><Relationship Id="rId6" Type="http://schemas.openxmlformats.org/officeDocument/2006/relationships/customXml" Target="../ink/ink38.xml"/><Relationship Id="rId11" Type="http://schemas.openxmlformats.org/officeDocument/2006/relationships/customXml" Target="../ink/ink42.xml"/><Relationship Id="rId5" Type="http://schemas.openxmlformats.org/officeDocument/2006/relationships/image" Target="../media/image2.png"/><Relationship Id="rId15" Type="http://schemas.openxmlformats.org/officeDocument/2006/relationships/chart" Target="../charts/chart31.xml"/><Relationship Id="rId10" Type="http://schemas.openxmlformats.org/officeDocument/2006/relationships/customXml" Target="../ink/ink41.xml"/><Relationship Id="rId19" Type="http://schemas.openxmlformats.org/officeDocument/2006/relationships/chart" Target="../charts/chart35.xml"/><Relationship Id="rId9" Type="http://schemas.openxmlformats.org/officeDocument/2006/relationships/customXml" Target="../ink/ink40.xml"/><Relationship Id="rId14" Type="http://schemas.openxmlformats.org/officeDocument/2006/relationships/customXml" Target="../ink/ink4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ustomXml" Target="../ink/ink48.xml"/><Relationship Id="rId13" Type="http://schemas.openxmlformats.org/officeDocument/2006/relationships/customXml" Target="../ink/ink53.xml"/><Relationship Id="rId18" Type="http://schemas.openxmlformats.org/officeDocument/2006/relationships/chart" Target="../charts/chart41.xml"/><Relationship Id="rId7" Type="http://schemas.openxmlformats.org/officeDocument/2006/relationships/image" Target="../media/image3.png"/><Relationship Id="rId12" Type="http://schemas.openxmlformats.org/officeDocument/2006/relationships/customXml" Target="../ink/ink52.xml"/><Relationship Id="rId17" Type="http://schemas.openxmlformats.org/officeDocument/2006/relationships/chart" Target="../charts/chart40.xml"/><Relationship Id="rId2" Type="http://schemas.openxmlformats.org/officeDocument/2006/relationships/customXml" Target="../ink/ink46.xml"/><Relationship Id="rId16" Type="http://schemas.openxmlformats.org/officeDocument/2006/relationships/chart" Target="../charts/chart39.xml"/><Relationship Id="rId20" Type="http://schemas.openxmlformats.org/officeDocument/2006/relationships/chart" Target="../charts/chart43.xml"/><Relationship Id="rId1" Type="http://schemas.openxmlformats.org/officeDocument/2006/relationships/chart" Target="../charts/chart37.xml"/><Relationship Id="rId6" Type="http://schemas.openxmlformats.org/officeDocument/2006/relationships/customXml" Target="../ink/ink47.xml"/><Relationship Id="rId11" Type="http://schemas.openxmlformats.org/officeDocument/2006/relationships/customXml" Target="../ink/ink51.xml"/><Relationship Id="rId5" Type="http://schemas.openxmlformats.org/officeDocument/2006/relationships/image" Target="../media/image2.png"/><Relationship Id="rId15" Type="http://schemas.openxmlformats.org/officeDocument/2006/relationships/chart" Target="../charts/chart38.xml"/><Relationship Id="rId10" Type="http://schemas.openxmlformats.org/officeDocument/2006/relationships/customXml" Target="../ink/ink50.xml"/><Relationship Id="rId19" Type="http://schemas.openxmlformats.org/officeDocument/2006/relationships/chart" Target="../charts/chart42.xml"/><Relationship Id="rId9" Type="http://schemas.openxmlformats.org/officeDocument/2006/relationships/customXml" Target="../ink/ink49.xml"/><Relationship Id="rId14" Type="http://schemas.openxmlformats.org/officeDocument/2006/relationships/customXml" Target="../ink/ink5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ustomXml" Target="../ink/ink57.xml"/><Relationship Id="rId13" Type="http://schemas.openxmlformats.org/officeDocument/2006/relationships/customXml" Target="../ink/ink62.xml"/><Relationship Id="rId18" Type="http://schemas.openxmlformats.org/officeDocument/2006/relationships/chart" Target="../charts/chart48.xml"/><Relationship Id="rId7" Type="http://schemas.openxmlformats.org/officeDocument/2006/relationships/image" Target="../media/image3.png"/><Relationship Id="rId12" Type="http://schemas.openxmlformats.org/officeDocument/2006/relationships/customXml" Target="../ink/ink61.xml"/><Relationship Id="rId17" Type="http://schemas.openxmlformats.org/officeDocument/2006/relationships/chart" Target="../charts/chart47.xml"/><Relationship Id="rId2" Type="http://schemas.openxmlformats.org/officeDocument/2006/relationships/customXml" Target="../ink/ink55.xml"/><Relationship Id="rId16" Type="http://schemas.openxmlformats.org/officeDocument/2006/relationships/chart" Target="../charts/chart46.xml"/><Relationship Id="rId20" Type="http://schemas.openxmlformats.org/officeDocument/2006/relationships/chart" Target="../charts/chart50.xml"/><Relationship Id="rId1" Type="http://schemas.openxmlformats.org/officeDocument/2006/relationships/chart" Target="../charts/chart44.xml"/><Relationship Id="rId6" Type="http://schemas.openxmlformats.org/officeDocument/2006/relationships/customXml" Target="../ink/ink56.xml"/><Relationship Id="rId11" Type="http://schemas.openxmlformats.org/officeDocument/2006/relationships/customXml" Target="../ink/ink60.xml"/><Relationship Id="rId5" Type="http://schemas.openxmlformats.org/officeDocument/2006/relationships/image" Target="../media/image2.png"/><Relationship Id="rId15" Type="http://schemas.openxmlformats.org/officeDocument/2006/relationships/chart" Target="../charts/chart45.xml"/><Relationship Id="rId10" Type="http://schemas.openxmlformats.org/officeDocument/2006/relationships/customXml" Target="../ink/ink59.xml"/><Relationship Id="rId19" Type="http://schemas.openxmlformats.org/officeDocument/2006/relationships/chart" Target="../charts/chart49.xml"/><Relationship Id="rId9" Type="http://schemas.openxmlformats.org/officeDocument/2006/relationships/customXml" Target="../ink/ink58.xml"/><Relationship Id="rId14" Type="http://schemas.openxmlformats.org/officeDocument/2006/relationships/customXml" Target="../ink/ink6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ustomXml" Target="../ink/ink66.xml"/><Relationship Id="rId13" Type="http://schemas.openxmlformats.org/officeDocument/2006/relationships/customXml" Target="../ink/ink71.xml"/><Relationship Id="rId18" Type="http://schemas.openxmlformats.org/officeDocument/2006/relationships/chart" Target="../charts/chart55.xml"/><Relationship Id="rId7" Type="http://schemas.openxmlformats.org/officeDocument/2006/relationships/image" Target="../media/image3.png"/><Relationship Id="rId12" Type="http://schemas.openxmlformats.org/officeDocument/2006/relationships/customXml" Target="../ink/ink70.xml"/><Relationship Id="rId17" Type="http://schemas.openxmlformats.org/officeDocument/2006/relationships/chart" Target="../charts/chart54.xml"/><Relationship Id="rId2" Type="http://schemas.openxmlformats.org/officeDocument/2006/relationships/customXml" Target="../ink/ink64.xml"/><Relationship Id="rId16" Type="http://schemas.openxmlformats.org/officeDocument/2006/relationships/chart" Target="../charts/chart53.xml"/><Relationship Id="rId20" Type="http://schemas.openxmlformats.org/officeDocument/2006/relationships/chart" Target="../charts/chart57.xml"/><Relationship Id="rId1" Type="http://schemas.openxmlformats.org/officeDocument/2006/relationships/chart" Target="../charts/chart51.xml"/><Relationship Id="rId6" Type="http://schemas.openxmlformats.org/officeDocument/2006/relationships/customXml" Target="../ink/ink65.xml"/><Relationship Id="rId11" Type="http://schemas.openxmlformats.org/officeDocument/2006/relationships/customXml" Target="../ink/ink69.xml"/><Relationship Id="rId5" Type="http://schemas.openxmlformats.org/officeDocument/2006/relationships/image" Target="../media/image2.png"/><Relationship Id="rId15" Type="http://schemas.openxmlformats.org/officeDocument/2006/relationships/chart" Target="../charts/chart52.xml"/><Relationship Id="rId10" Type="http://schemas.openxmlformats.org/officeDocument/2006/relationships/customXml" Target="../ink/ink68.xml"/><Relationship Id="rId19" Type="http://schemas.openxmlformats.org/officeDocument/2006/relationships/chart" Target="../charts/chart56.xml"/><Relationship Id="rId9" Type="http://schemas.openxmlformats.org/officeDocument/2006/relationships/customXml" Target="../ink/ink67.xml"/><Relationship Id="rId14" Type="http://schemas.openxmlformats.org/officeDocument/2006/relationships/customXml" Target="../ink/ink7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ustomXml" Target="../ink/ink75.xml"/><Relationship Id="rId13" Type="http://schemas.openxmlformats.org/officeDocument/2006/relationships/customXml" Target="../ink/ink80.xml"/><Relationship Id="rId18" Type="http://schemas.openxmlformats.org/officeDocument/2006/relationships/chart" Target="../charts/chart62.xml"/><Relationship Id="rId7" Type="http://schemas.openxmlformats.org/officeDocument/2006/relationships/image" Target="../media/image3.png"/><Relationship Id="rId12" Type="http://schemas.openxmlformats.org/officeDocument/2006/relationships/customXml" Target="../ink/ink79.xml"/><Relationship Id="rId17" Type="http://schemas.openxmlformats.org/officeDocument/2006/relationships/chart" Target="../charts/chart61.xml"/><Relationship Id="rId2" Type="http://schemas.openxmlformats.org/officeDocument/2006/relationships/customXml" Target="../ink/ink73.xml"/><Relationship Id="rId16" Type="http://schemas.openxmlformats.org/officeDocument/2006/relationships/chart" Target="../charts/chart60.xml"/><Relationship Id="rId20" Type="http://schemas.openxmlformats.org/officeDocument/2006/relationships/chart" Target="../charts/chart64.xml"/><Relationship Id="rId1" Type="http://schemas.openxmlformats.org/officeDocument/2006/relationships/chart" Target="../charts/chart58.xml"/><Relationship Id="rId6" Type="http://schemas.openxmlformats.org/officeDocument/2006/relationships/customXml" Target="../ink/ink74.xml"/><Relationship Id="rId11" Type="http://schemas.openxmlformats.org/officeDocument/2006/relationships/customXml" Target="../ink/ink78.xml"/><Relationship Id="rId5" Type="http://schemas.openxmlformats.org/officeDocument/2006/relationships/image" Target="../media/image2.png"/><Relationship Id="rId15" Type="http://schemas.openxmlformats.org/officeDocument/2006/relationships/chart" Target="../charts/chart59.xml"/><Relationship Id="rId10" Type="http://schemas.openxmlformats.org/officeDocument/2006/relationships/customXml" Target="../ink/ink77.xml"/><Relationship Id="rId19" Type="http://schemas.openxmlformats.org/officeDocument/2006/relationships/chart" Target="../charts/chart63.xml"/><Relationship Id="rId9" Type="http://schemas.openxmlformats.org/officeDocument/2006/relationships/customXml" Target="../ink/ink76.xml"/><Relationship Id="rId14" Type="http://schemas.openxmlformats.org/officeDocument/2006/relationships/customXml" Target="../ink/ink81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ustomXml" Target="../ink/ink84.xml"/><Relationship Id="rId13" Type="http://schemas.openxmlformats.org/officeDocument/2006/relationships/customXml" Target="../ink/ink89.xml"/><Relationship Id="rId18" Type="http://schemas.openxmlformats.org/officeDocument/2006/relationships/chart" Target="../charts/chart69.xml"/><Relationship Id="rId7" Type="http://schemas.openxmlformats.org/officeDocument/2006/relationships/image" Target="../media/image3.png"/><Relationship Id="rId12" Type="http://schemas.openxmlformats.org/officeDocument/2006/relationships/customXml" Target="../ink/ink88.xml"/><Relationship Id="rId17" Type="http://schemas.openxmlformats.org/officeDocument/2006/relationships/chart" Target="../charts/chart68.xml"/><Relationship Id="rId2" Type="http://schemas.openxmlformats.org/officeDocument/2006/relationships/customXml" Target="../ink/ink82.xml"/><Relationship Id="rId16" Type="http://schemas.openxmlformats.org/officeDocument/2006/relationships/chart" Target="../charts/chart67.xml"/><Relationship Id="rId20" Type="http://schemas.openxmlformats.org/officeDocument/2006/relationships/chart" Target="../charts/chart71.xml"/><Relationship Id="rId1" Type="http://schemas.openxmlformats.org/officeDocument/2006/relationships/chart" Target="../charts/chart65.xml"/><Relationship Id="rId6" Type="http://schemas.openxmlformats.org/officeDocument/2006/relationships/customXml" Target="../ink/ink83.xml"/><Relationship Id="rId11" Type="http://schemas.openxmlformats.org/officeDocument/2006/relationships/customXml" Target="../ink/ink87.xml"/><Relationship Id="rId5" Type="http://schemas.openxmlformats.org/officeDocument/2006/relationships/image" Target="../media/image2.png"/><Relationship Id="rId15" Type="http://schemas.openxmlformats.org/officeDocument/2006/relationships/chart" Target="../charts/chart66.xml"/><Relationship Id="rId10" Type="http://schemas.openxmlformats.org/officeDocument/2006/relationships/customXml" Target="../ink/ink86.xml"/><Relationship Id="rId19" Type="http://schemas.openxmlformats.org/officeDocument/2006/relationships/chart" Target="../charts/chart70.xml"/><Relationship Id="rId9" Type="http://schemas.openxmlformats.org/officeDocument/2006/relationships/customXml" Target="../ink/ink85.xml"/><Relationship Id="rId14" Type="http://schemas.openxmlformats.org/officeDocument/2006/relationships/customXml" Target="../ink/ink90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ustomXml" Target="../ink/ink93.xml"/><Relationship Id="rId13" Type="http://schemas.openxmlformats.org/officeDocument/2006/relationships/customXml" Target="../ink/ink98.xml"/><Relationship Id="rId18" Type="http://schemas.openxmlformats.org/officeDocument/2006/relationships/chart" Target="../charts/chart76.xml"/><Relationship Id="rId7" Type="http://schemas.openxmlformats.org/officeDocument/2006/relationships/image" Target="../media/image3.png"/><Relationship Id="rId12" Type="http://schemas.openxmlformats.org/officeDocument/2006/relationships/customXml" Target="../ink/ink97.xml"/><Relationship Id="rId17" Type="http://schemas.openxmlformats.org/officeDocument/2006/relationships/chart" Target="../charts/chart75.xml"/><Relationship Id="rId2" Type="http://schemas.openxmlformats.org/officeDocument/2006/relationships/customXml" Target="../ink/ink91.xml"/><Relationship Id="rId16" Type="http://schemas.openxmlformats.org/officeDocument/2006/relationships/chart" Target="../charts/chart74.xml"/><Relationship Id="rId20" Type="http://schemas.openxmlformats.org/officeDocument/2006/relationships/chart" Target="../charts/chart78.xml"/><Relationship Id="rId1" Type="http://schemas.openxmlformats.org/officeDocument/2006/relationships/chart" Target="../charts/chart72.xml"/><Relationship Id="rId6" Type="http://schemas.openxmlformats.org/officeDocument/2006/relationships/customXml" Target="../ink/ink92.xml"/><Relationship Id="rId11" Type="http://schemas.openxmlformats.org/officeDocument/2006/relationships/customXml" Target="../ink/ink96.xml"/><Relationship Id="rId5" Type="http://schemas.openxmlformats.org/officeDocument/2006/relationships/image" Target="../media/image2.png"/><Relationship Id="rId15" Type="http://schemas.openxmlformats.org/officeDocument/2006/relationships/chart" Target="../charts/chart73.xml"/><Relationship Id="rId10" Type="http://schemas.openxmlformats.org/officeDocument/2006/relationships/customXml" Target="../ink/ink95.xml"/><Relationship Id="rId19" Type="http://schemas.openxmlformats.org/officeDocument/2006/relationships/chart" Target="../charts/chart77.xml"/><Relationship Id="rId9" Type="http://schemas.openxmlformats.org/officeDocument/2006/relationships/customXml" Target="../ink/ink94.xml"/><Relationship Id="rId14" Type="http://schemas.openxmlformats.org/officeDocument/2006/relationships/customXml" Target="../ink/ink99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ustomXml" Target="../ink/ink102.xml"/><Relationship Id="rId13" Type="http://schemas.openxmlformats.org/officeDocument/2006/relationships/customXml" Target="../ink/ink107.xml"/><Relationship Id="rId18" Type="http://schemas.openxmlformats.org/officeDocument/2006/relationships/chart" Target="../charts/chart83.xml"/><Relationship Id="rId7" Type="http://schemas.openxmlformats.org/officeDocument/2006/relationships/image" Target="../media/image3.png"/><Relationship Id="rId12" Type="http://schemas.openxmlformats.org/officeDocument/2006/relationships/customXml" Target="../ink/ink106.xml"/><Relationship Id="rId17" Type="http://schemas.openxmlformats.org/officeDocument/2006/relationships/chart" Target="../charts/chart82.xml"/><Relationship Id="rId2" Type="http://schemas.openxmlformats.org/officeDocument/2006/relationships/customXml" Target="../ink/ink100.xml"/><Relationship Id="rId16" Type="http://schemas.openxmlformats.org/officeDocument/2006/relationships/chart" Target="../charts/chart81.xml"/><Relationship Id="rId20" Type="http://schemas.openxmlformats.org/officeDocument/2006/relationships/chart" Target="../charts/chart85.xml"/><Relationship Id="rId1" Type="http://schemas.openxmlformats.org/officeDocument/2006/relationships/chart" Target="../charts/chart79.xml"/><Relationship Id="rId6" Type="http://schemas.openxmlformats.org/officeDocument/2006/relationships/customXml" Target="../ink/ink101.xml"/><Relationship Id="rId11" Type="http://schemas.openxmlformats.org/officeDocument/2006/relationships/customXml" Target="../ink/ink105.xml"/><Relationship Id="rId5" Type="http://schemas.openxmlformats.org/officeDocument/2006/relationships/image" Target="../media/image2.png"/><Relationship Id="rId15" Type="http://schemas.openxmlformats.org/officeDocument/2006/relationships/chart" Target="../charts/chart80.xml"/><Relationship Id="rId10" Type="http://schemas.openxmlformats.org/officeDocument/2006/relationships/customXml" Target="../ink/ink104.xml"/><Relationship Id="rId19" Type="http://schemas.openxmlformats.org/officeDocument/2006/relationships/chart" Target="../charts/chart84.xml"/><Relationship Id="rId9" Type="http://schemas.openxmlformats.org/officeDocument/2006/relationships/customXml" Target="../ink/ink103.xml"/><Relationship Id="rId14" Type="http://schemas.openxmlformats.org/officeDocument/2006/relationships/customXml" Target="../ink/ink10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180975</xdr:rowOff>
    </xdr:from>
    <xdr:to>
      <xdr:col>16</xdr:col>
      <xdr:colOff>333375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82895-2E46-49EB-AA56-66FEB4820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57150</xdr:rowOff>
    </xdr:from>
    <xdr:to>
      <xdr:col>28</xdr:col>
      <xdr:colOff>419100</xdr:colOff>
      <xdr:row>16</xdr:row>
      <xdr:rowOff>180975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EB92BB0-FB41-45DF-B157-8E7D9FBDB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2</xdr:col>
      <xdr:colOff>28575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F0CA9A25-54FF-4DCE-B35F-DFE91968A480}"/>
                </a:ext>
                <a:ext uri="{147F2762-F138-4A5C-976F-8EAC2B608ADB}">
                  <a16:predDERef xmlns:a16="http://schemas.microsoft.com/office/drawing/2014/main" pred="{DEB92BB0-FB41-45DF-B157-8E7D9FBDB74A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BD2B9611-3CE0-4661-B40F-367364530DD0}"/>
                </a:ext>
                <a:ext uri="{147F2762-F138-4A5C-976F-8EAC2B608ADB}">
                  <a16:predDERef xmlns:a16="http://schemas.microsoft.com/office/drawing/2014/main" pred="{F0CA9A25-54FF-4DCE-B35F-DFE91968A480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1503DC1A-4FDF-4A18-BA53-E58EF2F3B347}"/>
                </a:ext>
                <a:ext uri="{147F2762-F138-4A5C-976F-8EAC2B608ADB}">
                  <a16:predDERef xmlns:a16="http://schemas.microsoft.com/office/drawing/2014/main" pred="{BD2B9611-3CE0-4661-B40F-367364530DD0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813F05B7-CBA2-40B6-B888-C9D91DCB4587}"/>
                </a:ext>
                <a:ext uri="{147F2762-F138-4A5C-976F-8EAC2B608ADB}">
                  <a16:predDERef xmlns:a16="http://schemas.microsoft.com/office/drawing/2014/main" pred="{1503DC1A-4FDF-4A18-BA53-E58EF2F3B347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7A96E7A6-27A5-4D30-B36C-5279250F00E1}"/>
                </a:ext>
                <a:ext uri="{147F2762-F138-4A5C-976F-8EAC2B608ADB}">
                  <a16:predDERef xmlns:a16="http://schemas.microsoft.com/office/drawing/2014/main" pred="{813F05B7-CBA2-40B6-B888-C9D91DCB4587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B49FDC0B-095F-44A9-AA0A-5A5D4FC25C96}"/>
                </a:ext>
                <a:ext uri="{147F2762-F138-4A5C-976F-8EAC2B608ADB}">
                  <a16:predDERef xmlns:a16="http://schemas.microsoft.com/office/drawing/2014/main" pred="{7A96E7A6-27A5-4D30-B36C-5279250F00E1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EB205BF4-B8E3-4D67-A7FB-2464781241A8}"/>
                </a:ext>
                <a:ext uri="{147F2762-F138-4A5C-976F-8EAC2B608ADB}">
                  <a16:predDERef xmlns:a16="http://schemas.microsoft.com/office/drawing/2014/main" pred="{B49FDC0B-095F-44A9-AA0A-5A5D4FC25C96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500DBAE8-BC7A-42AC-BF30-20173FB309CA}"/>
                </a:ext>
                <a:ext uri="{147F2762-F138-4A5C-976F-8EAC2B608ADB}">
                  <a16:predDERef xmlns:a16="http://schemas.microsoft.com/office/drawing/2014/main" pred="{EB205BF4-B8E3-4D67-A7FB-2464781241A8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C7D75908-3EBC-4484-961C-6004B03AC774}"/>
                </a:ext>
                <a:ext uri="{147F2762-F138-4A5C-976F-8EAC2B608ADB}">
                  <a16:predDERef xmlns:a16="http://schemas.microsoft.com/office/drawing/2014/main" pred="{500DBAE8-BC7A-42AC-BF30-20173FB309CA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19050</xdr:colOff>
      <xdr:row>6</xdr:row>
      <xdr:rowOff>0</xdr:rowOff>
    </xdr:from>
    <xdr:to>
      <xdr:col>35</xdr:col>
      <xdr:colOff>57150</xdr:colOff>
      <xdr:row>16</xdr:row>
      <xdr:rowOff>171450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6BF2ADDA-1667-4B45-9E89-DB07AF7F234B}"/>
            </a:ext>
            <a:ext uri="{147F2762-F138-4A5C-976F-8EAC2B608ADB}">
              <a16:predDERef xmlns:a16="http://schemas.microsoft.com/office/drawing/2014/main" pred="{C7D75908-3EBC-4484-961C-6004B03AC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180975</xdr:colOff>
      <xdr:row>39</xdr:row>
      <xdr:rowOff>161925</xdr:rowOff>
    </xdr:from>
    <xdr:to>
      <xdr:col>8</xdr:col>
      <xdr:colOff>466725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BF9B3B7A-8F17-464F-9483-F0EB93D68C7E}"/>
            </a:ext>
            <a:ext uri="{147F2762-F138-4A5C-976F-8EAC2B608ADB}">
              <a16:predDERef xmlns:a16="http://schemas.microsoft.com/office/drawing/2014/main" pred="{6BF2ADDA-1667-4B45-9E89-DB07AF7F2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171450</xdr:colOff>
      <xdr:row>39</xdr:row>
      <xdr:rowOff>180975</xdr:rowOff>
    </xdr:from>
    <xdr:to>
      <xdr:col>15</xdr:col>
      <xdr:colOff>371475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86549C71-EE8C-4838-8906-D96CD68E69A1}"/>
            </a:ext>
            <a:ext uri="{147F2762-F138-4A5C-976F-8EAC2B608ADB}">
              <a16:predDERef xmlns:a16="http://schemas.microsoft.com/office/drawing/2014/main" pred="{BF9B3B7A-8F17-464F-9483-F0EB93D68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123825</xdr:colOff>
      <xdr:row>40</xdr:row>
      <xdr:rowOff>28575</xdr:rowOff>
    </xdr:from>
    <xdr:to>
      <xdr:col>22</xdr:col>
      <xdr:colOff>466725</xdr:colOff>
      <xdr:row>47</xdr:row>
      <xdr:rowOff>19050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19533818-0854-4A0C-B3F9-C4C4319F69CE}"/>
            </a:ext>
            <a:ext uri="{147F2762-F138-4A5C-976F-8EAC2B608ADB}">
              <a16:predDERef xmlns:a16="http://schemas.microsoft.com/office/drawing/2014/main" pred="{86549C71-EE8C-4838-8906-D96CD68E6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97C4E8AE-7A8E-4CE0-AF51-3951A29639FD}"/>
            </a:ext>
            <a:ext uri="{147F2762-F138-4A5C-976F-8EAC2B608ADB}">
              <a16:predDERef xmlns:a16="http://schemas.microsoft.com/office/drawing/2014/main" pred="{19533818-0854-4A0C-B3F9-C4C4319F6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152400</xdr:colOff>
      <xdr:row>40</xdr:row>
      <xdr:rowOff>0</xdr:rowOff>
    </xdr:from>
    <xdr:to>
      <xdr:col>29</xdr:col>
      <xdr:colOff>466725</xdr:colOff>
      <xdr:row>46</xdr:row>
      <xdr:rowOff>152400</xdr:rowOff>
    </xdr:to>
    <xdr:graphicFrame macro="">
      <xdr:nvGraphicFramePr>
        <xdr:cNvPr id="17" name="Chart 26">
          <a:extLst>
            <a:ext uri="{FF2B5EF4-FFF2-40B4-BE49-F238E27FC236}">
              <a16:creationId xmlns:a16="http://schemas.microsoft.com/office/drawing/2014/main" id="{1308E5EF-5DA5-40C3-A9CD-12273370BC4F}"/>
            </a:ext>
            <a:ext uri="{147F2762-F138-4A5C-976F-8EAC2B608ADB}">
              <a16:predDERef xmlns:a16="http://schemas.microsoft.com/office/drawing/2014/main" pred="{97C4E8AE-7A8E-4CE0-AF51-3951A2963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AD4FAA-4CF0-FAC4-2430-EDE3CC05E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2</xdr:col>
      <xdr:colOff>28575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" name="">
              <a:extLst>
                <a:ext uri="{FF2B5EF4-FFF2-40B4-BE49-F238E27FC236}">
                  <a16:creationId xmlns:a16="http://schemas.microsoft.com/office/drawing/2014/main" id="{95F54913-8BF4-489E-A717-0CB22FE0B24A}"/>
                </a:ext>
                <a:ext uri="{147F2762-F138-4A5C-976F-8EAC2B608ADB}">
                  <a16:predDERef xmlns:a16="http://schemas.microsoft.com/office/drawing/2014/main" pred="{9E8CD2AE-4E47-46B3-ADF6-5A4B53B8CFB5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">
              <a:extLst>
                <a:ext uri="{FF2B5EF4-FFF2-40B4-BE49-F238E27FC236}">
                  <a16:creationId xmlns:a16="http://schemas.microsoft.com/office/drawing/2014/main" id="{8B48D851-2DA0-45B3-9640-E702387D66EB}"/>
                </a:ext>
                <a:ext uri="{147F2762-F138-4A5C-976F-8EAC2B608ADB}">
                  <a16:predDERef xmlns:a16="http://schemas.microsoft.com/office/drawing/2014/main" pred="{95F54913-8BF4-489E-A717-0CB22FE0B24A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" name="">
              <a:extLst>
                <a:ext uri="{FF2B5EF4-FFF2-40B4-BE49-F238E27FC236}">
                  <a16:creationId xmlns:a16="http://schemas.microsoft.com/office/drawing/2014/main" id="{70DEC03F-5C41-418F-8D3D-2A8FC57B5AD0}"/>
                </a:ext>
                <a:ext uri="{147F2762-F138-4A5C-976F-8EAC2B608ADB}">
                  <a16:predDERef xmlns:a16="http://schemas.microsoft.com/office/drawing/2014/main" pred="{8B48D851-2DA0-45B3-9640-E702387D66EB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5" name="">
              <a:extLst>
                <a:ext uri="{FF2B5EF4-FFF2-40B4-BE49-F238E27FC236}">
                  <a16:creationId xmlns:a16="http://schemas.microsoft.com/office/drawing/2014/main" id="{3454B35C-4D94-4930-BBA5-CB27CB7B7D46}"/>
                </a:ext>
                <a:ext uri="{147F2762-F138-4A5C-976F-8EAC2B608ADB}">
                  <a16:predDERef xmlns:a16="http://schemas.microsoft.com/office/drawing/2014/main" pred="{70DEC03F-5C41-418F-8D3D-2A8FC57B5AD0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6" name="">
              <a:extLst>
                <a:ext uri="{FF2B5EF4-FFF2-40B4-BE49-F238E27FC236}">
                  <a16:creationId xmlns:a16="http://schemas.microsoft.com/office/drawing/2014/main" id="{CF064882-F5FC-4CF9-95D8-3BB1FD5A1660}"/>
                </a:ext>
                <a:ext uri="{147F2762-F138-4A5C-976F-8EAC2B608ADB}">
                  <a16:predDERef xmlns:a16="http://schemas.microsoft.com/office/drawing/2014/main" pred="{3454B35C-4D94-4930-BBA5-CB27CB7B7D46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">
              <a:extLst>
                <a:ext uri="{FF2B5EF4-FFF2-40B4-BE49-F238E27FC236}">
                  <a16:creationId xmlns:a16="http://schemas.microsoft.com/office/drawing/2014/main" id="{6838ADD0-E20E-41D1-B193-3721F8E3FF08}"/>
                </a:ext>
                <a:ext uri="{147F2762-F138-4A5C-976F-8EAC2B608ADB}">
                  <a16:predDERef xmlns:a16="http://schemas.microsoft.com/office/drawing/2014/main" pred="{CF064882-F5FC-4CF9-95D8-3BB1FD5A1660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">
              <a:extLst>
                <a:ext uri="{FF2B5EF4-FFF2-40B4-BE49-F238E27FC236}">
                  <a16:creationId xmlns:a16="http://schemas.microsoft.com/office/drawing/2014/main" id="{834D56A7-EC79-4BA0-A2FF-DBF22D3A0E68}"/>
                </a:ext>
                <a:ext uri="{147F2762-F138-4A5C-976F-8EAC2B608ADB}">
                  <a16:predDERef xmlns:a16="http://schemas.microsoft.com/office/drawing/2014/main" pred="{6838ADD0-E20E-41D1-B193-3721F8E3FF08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9525</xdr:rowOff>
    </xdr:from>
    <xdr:to>
      <xdr:col>35</xdr:col>
      <xdr:colOff>590550</xdr:colOff>
      <xdr:row>17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60F4F4-0953-4396-B934-0A69D1FAB436}"/>
            </a:ext>
            <a:ext uri="{147F2762-F138-4A5C-976F-8EAC2B608ADB}">
              <a16:predDERef xmlns:a16="http://schemas.microsoft.com/office/drawing/2014/main" pred="{834D56A7-EC79-4BA0-A2FF-DBF22D3A0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C85FE0F-21C2-4D84-A925-061B8E2906B8}"/>
            </a:ext>
            <a:ext uri="{147F2762-F138-4A5C-976F-8EAC2B608ADB}">
              <a16:predDERef xmlns:a16="http://schemas.microsoft.com/office/drawing/2014/main" pred="{E260F4F4-0953-4396-B934-0A69D1FAB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493E3D2-37C0-490E-9DBD-5455A809CA2E}"/>
            </a:ext>
            <a:ext uri="{147F2762-F138-4A5C-976F-8EAC2B608ADB}">
              <a16:predDERef xmlns:a16="http://schemas.microsoft.com/office/drawing/2014/main" pred="{4C85FE0F-21C2-4D84-A925-061B8E290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34B1BA3-780B-461A-B252-B472C2E241AE}"/>
            </a:ext>
            <a:ext uri="{147F2762-F138-4A5C-976F-8EAC2B608ADB}">
              <a16:predDERef xmlns:a16="http://schemas.microsoft.com/office/drawing/2014/main" pred="{D493E3D2-37C0-490E-9DBD-5455A809C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E6C8F54-AD23-4F9A-B4D5-39B6FADFFE6F}"/>
            </a:ext>
            <a:ext uri="{147F2762-F138-4A5C-976F-8EAC2B608ADB}">
              <a16:predDERef xmlns:a16="http://schemas.microsoft.com/office/drawing/2014/main" pred="{E34B1BA3-780B-461A-B252-B472C2E24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66675</xdr:colOff>
      <xdr:row>39</xdr:row>
      <xdr:rowOff>180975</xdr:rowOff>
    </xdr:from>
    <xdr:to>
      <xdr:col>30</xdr:col>
      <xdr:colOff>381000</xdr:colOff>
      <xdr:row>46</xdr:row>
      <xdr:rowOff>142875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3EE13CF-A7C2-4F9F-B326-975D16302335}"/>
            </a:ext>
            <a:ext uri="{147F2762-F138-4A5C-976F-8EAC2B608ADB}">
              <a16:predDERef xmlns:a16="http://schemas.microsoft.com/office/drawing/2014/main" pred="{EE6C8F54-AD23-4F9A-B4D5-39B6FADFF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8118281-CD41-4083-8113-FA7BC32F2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2</xdr:col>
      <xdr:colOff>28575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57B328C6-92FD-4A2E-BE00-3C19ABC99A69}"/>
                </a:ext>
                <a:ext uri="{147F2762-F138-4A5C-976F-8EAC2B608ADB}">
                  <a16:predDERef xmlns:a16="http://schemas.microsoft.com/office/drawing/2014/main" pred="{38118281-CD41-4083-8113-FA7BC32F21D6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FA06532A-B215-41A7-A68D-8245889544ED}"/>
                </a:ext>
                <a:ext uri="{147F2762-F138-4A5C-976F-8EAC2B608ADB}">
                  <a16:predDERef xmlns:a16="http://schemas.microsoft.com/office/drawing/2014/main" pred="{57B328C6-92FD-4A2E-BE00-3C19ABC99A69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AFA3B831-FA27-4F44-9C22-9E594107985F}"/>
                </a:ext>
                <a:ext uri="{147F2762-F138-4A5C-976F-8EAC2B608ADB}">
                  <a16:predDERef xmlns:a16="http://schemas.microsoft.com/office/drawing/2014/main" pred="{FA06532A-B215-41A7-A68D-8245889544ED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F3642CE7-30A3-4B5A-BFFF-6B3443D7170D}"/>
                </a:ext>
                <a:ext uri="{147F2762-F138-4A5C-976F-8EAC2B608ADB}">
                  <a16:predDERef xmlns:a16="http://schemas.microsoft.com/office/drawing/2014/main" pred="{AFA3B831-FA27-4F44-9C22-9E594107985F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45F78F54-95CD-4DD6-86E4-B512F2A5057A}"/>
                </a:ext>
                <a:ext uri="{147F2762-F138-4A5C-976F-8EAC2B608ADB}">
                  <a16:predDERef xmlns:a16="http://schemas.microsoft.com/office/drawing/2014/main" pred="{F3642CE7-30A3-4B5A-BFFF-6B3443D7170D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1D280258-4B9E-490F-A3C0-F7AC25924074}"/>
                </a:ext>
                <a:ext uri="{147F2762-F138-4A5C-976F-8EAC2B608ADB}">
                  <a16:predDERef xmlns:a16="http://schemas.microsoft.com/office/drawing/2014/main" pred="{45F78F54-95CD-4DD6-86E4-B512F2A5057A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9DC9973B-996B-4291-BDB4-A2303BCFCEA2}"/>
                </a:ext>
                <a:ext uri="{147F2762-F138-4A5C-976F-8EAC2B608ADB}">
                  <a16:predDERef xmlns:a16="http://schemas.microsoft.com/office/drawing/2014/main" pred="{1D280258-4B9E-490F-A3C0-F7AC25924074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E2E8B847-0D47-4BB9-8C01-1DBE23FEEA5F}"/>
                </a:ext>
                <a:ext uri="{147F2762-F138-4A5C-976F-8EAC2B608ADB}">
                  <a16:predDERef xmlns:a16="http://schemas.microsoft.com/office/drawing/2014/main" pred="{9DC9973B-996B-4291-BDB4-A2303BCFCEA2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3A77A681-5947-42B8-93D0-6EE97671A008}"/>
                </a:ext>
                <a:ext uri="{147F2762-F138-4A5C-976F-8EAC2B608ADB}">
                  <a16:predDERef xmlns:a16="http://schemas.microsoft.com/office/drawing/2014/main" pred="{E2E8B847-0D47-4BB9-8C01-1DBE23FEEA5F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28</xdr:col>
      <xdr:colOff>571500</xdr:colOff>
      <xdr:row>5</xdr:row>
      <xdr:rowOff>180975</xdr:rowOff>
    </xdr:from>
    <xdr:to>
      <xdr:col>34</xdr:col>
      <xdr:colOff>657225</xdr:colOff>
      <xdr:row>16</xdr:row>
      <xdr:rowOff>171450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936B16E2-868A-45F6-A232-BAEFBF027769}"/>
            </a:ext>
            <a:ext uri="{147F2762-F138-4A5C-976F-8EAC2B608ADB}">
              <a16:predDERef xmlns:a16="http://schemas.microsoft.com/office/drawing/2014/main" pred="{3A77A681-5947-42B8-93D0-6EE97671A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87D05753-DB3C-4524-9E46-63F36976BC22}"/>
            </a:ext>
            <a:ext uri="{147F2762-F138-4A5C-976F-8EAC2B608ADB}">
              <a16:predDERef xmlns:a16="http://schemas.microsoft.com/office/drawing/2014/main" pred="{936B16E2-868A-45F6-A232-BAEFBF027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1651045F-1865-4297-BC45-A9F96CB93753}"/>
            </a:ext>
            <a:ext uri="{147F2762-F138-4A5C-976F-8EAC2B608ADB}">
              <a16:predDERef xmlns:a16="http://schemas.microsoft.com/office/drawing/2014/main" pred="{87D05753-DB3C-4524-9E46-63F36976B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947CC62C-F885-479E-9C84-32B0B13DC5B6}"/>
            </a:ext>
            <a:ext uri="{147F2762-F138-4A5C-976F-8EAC2B608ADB}">
              <a16:predDERef xmlns:a16="http://schemas.microsoft.com/office/drawing/2014/main" pred="{1651045F-1865-4297-BC45-A9F96CB93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0B4212D3-86EC-4036-864A-0F48618EDBB4}"/>
            </a:ext>
            <a:ext uri="{147F2762-F138-4A5C-976F-8EAC2B608ADB}">
              <a16:predDERef xmlns:a16="http://schemas.microsoft.com/office/drawing/2014/main" pred="{947CC62C-F885-479E-9C84-32B0B13DC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0A84E2F-F6BA-4ACE-9BFA-D1450A6F6544}"/>
            </a:ext>
            <a:ext uri="{147F2762-F138-4A5C-976F-8EAC2B608ADB}">
              <a16:predDERef xmlns:a16="http://schemas.microsoft.com/office/drawing/2014/main" pred="{0B4212D3-86EC-4036-864A-0F48618ED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8E20C93B-1446-49BE-AEAC-4E714BEE6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2</xdr:col>
      <xdr:colOff>28575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F2053725-F368-4998-8350-E6BC94524E17}"/>
                </a:ext>
                <a:ext uri="{147F2762-F138-4A5C-976F-8EAC2B608ADB}">
                  <a16:predDERef xmlns:a16="http://schemas.microsoft.com/office/drawing/2014/main" pred="{8E20C93B-1446-49BE-AEAC-4E714BEE6C6F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0AED12AF-F086-43C5-A7A2-16195C926BBF}"/>
                </a:ext>
                <a:ext uri="{147F2762-F138-4A5C-976F-8EAC2B608ADB}">
                  <a16:predDERef xmlns:a16="http://schemas.microsoft.com/office/drawing/2014/main" pred="{F2053725-F368-4998-8350-E6BC94524E17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F30FDCE5-89BC-45A3-A98F-8C407A644984}"/>
                </a:ext>
                <a:ext uri="{147F2762-F138-4A5C-976F-8EAC2B608ADB}">
                  <a16:predDERef xmlns:a16="http://schemas.microsoft.com/office/drawing/2014/main" pred="{0AED12AF-F086-43C5-A7A2-16195C926BBF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3C0E0CB8-4E9E-429E-ACA7-D15B732A6D49}"/>
                </a:ext>
                <a:ext uri="{147F2762-F138-4A5C-976F-8EAC2B608ADB}">
                  <a16:predDERef xmlns:a16="http://schemas.microsoft.com/office/drawing/2014/main" pred="{F30FDCE5-89BC-45A3-A98F-8C407A644984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36D713E1-0A62-4866-805C-92501A565370}"/>
                </a:ext>
                <a:ext uri="{147F2762-F138-4A5C-976F-8EAC2B608ADB}">
                  <a16:predDERef xmlns:a16="http://schemas.microsoft.com/office/drawing/2014/main" pred="{3C0E0CB8-4E9E-429E-ACA7-D15B732A6D49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A5B723DD-3043-4213-946B-36CF51BD2468}"/>
                </a:ext>
                <a:ext uri="{147F2762-F138-4A5C-976F-8EAC2B608ADB}">
                  <a16:predDERef xmlns:a16="http://schemas.microsoft.com/office/drawing/2014/main" pred="{36D713E1-0A62-4866-805C-92501A565370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9A771784-1EA7-4867-BB24-071874413147}"/>
                </a:ext>
                <a:ext uri="{147F2762-F138-4A5C-976F-8EAC2B608ADB}">
                  <a16:predDERef xmlns:a16="http://schemas.microsoft.com/office/drawing/2014/main" pred="{A5B723DD-3043-4213-946B-36CF51BD2468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E744080E-2A00-494E-A686-EB049EBA7414}"/>
                </a:ext>
                <a:ext uri="{147F2762-F138-4A5C-976F-8EAC2B608ADB}">
                  <a16:predDERef xmlns:a16="http://schemas.microsoft.com/office/drawing/2014/main" pred="{9A771784-1EA7-4867-BB24-071874413147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DFF06812-6F06-4959-B78D-62BD0CD51759}"/>
                </a:ext>
                <a:ext uri="{147F2762-F138-4A5C-976F-8EAC2B608ADB}">
                  <a16:predDERef xmlns:a16="http://schemas.microsoft.com/office/drawing/2014/main" pred="{E744080E-2A00-494E-A686-EB049EBA7414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28575</xdr:rowOff>
    </xdr:from>
    <xdr:to>
      <xdr:col>35</xdr:col>
      <xdr:colOff>590550</xdr:colOff>
      <xdr:row>17</xdr:row>
      <xdr:rowOff>19050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AD8E8654-A0D7-43AB-9628-69D4D3097A11}"/>
            </a:ext>
            <a:ext uri="{147F2762-F138-4A5C-976F-8EAC2B608ADB}">
              <a16:predDERef xmlns:a16="http://schemas.microsoft.com/office/drawing/2014/main" pred="{DFF06812-6F06-4959-B78D-62BD0CD51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3DCAA320-A17F-4375-92A7-B48D6F37D66D}"/>
            </a:ext>
            <a:ext uri="{147F2762-F138-4A5C-976F-8EAC2B608ADB}">
              <a16:predDERef xmlns:a16="http://schemas.microsoft.com/office/drawing/2014/main" pred="{AD8E8654-A0D7-43AB-9628-69D4D3097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E7CBAC6B-5F70-4C95-B2E5-0AC449B87A51}"/>
            </a:ext>
            <a:ext uri="{147F2762-F138-4A5C-976F-8EAC2B608ADB}">
              <a16:predDERef xmlns:a16="http://schemas.microsoft.com/office/drawing/2014/main" pred="{3DCAA320-A17F-4375-92A7-B48D6F37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A08D11D1-7B97-4418-9D6A-475BDCF18B5D}"/>
            </a:ext>
            <a:ext uri="{147F2762-F138-4A5C-976F-8EAC2B608ADB}">
              <a16:predDERef xmlns:a16="http://schemas.microsoft.com/office/drawing/2014/main" pred="{E7CBAC6B-5F70-4C95-B2E5-0AC449B87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1C8FF61C-40D6-4050-9261-4634CE199A38}"/>
            </a:ext>
            <a:ext uri="{147F2762-F138-4A5C-976F-8EAC2B608ADB}">
              <a16:predDERef xmlns:a16="http://schemas.microsoft.com/office/drawing/2014/main" pred="{A08D11D1-7B97-4418-9D6A-475BDCF18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8264C017-A921-4FFF-AE6B-924AA92E188F}"/>
            </a:ext>
            <a:ext uri="{147F2762-F138-4A5C-976F-8EAC2B608ADB}">
              <a16:predDERef xmlns:a16="http://schemas.microsoft.com/office/drawing/2014/main" pred="{1C8FF61C-40D6-4050-9261-4634CE199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B0DB2787-FE5C-4AC7-A83B-991242AC5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2</xdr:col>
      <xdr:colOff>28575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3FFDAAB7-CED0-446B-A7A4-632295F10515}"/>
                </a:ext>
                <a:ext uri="{147F2762-F138-4A5C-976F-8EAC2B608ADB}">
                  <a16:predDERef xmlns:a16="http://schemas.microsoft.com/office/drawing/2014/main" pred="{B0DB2787-FE5C-4AC7-A83B-991242AC5BF7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1CB0B303-86F6-4A2F-BEE9-DAEF4AF45AE3}"/>
                </a:ext>
                <a:ext uri="{147F2762-F138-4A5C-976F-8EAC2B608ADB}">
                  <a16:predDERef xmlns:a16="http://schemas.microsoft.com/office/drawing/2014/main" pred="{3FFDAAB7-CED0-446B-A7A4-632295F10515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FAFDFD7B-D45B-40E2-B689-0A14AF3D7B9C}"/>
                </a:ext>
                <a:ext uri="{147F2762-F138-4A5C-976F-8EAC2B608ADB}">
                  <a16:predDERef xmlns:a16="http://schemas.microsoft.com/office/drawing/2014/main" pred="{1CB0B303-86F6-4A2F-BEE9-DAEF4AF45AE3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C90C409F-B81F-4008-846D-202F13087512}"/>
                </a:ext>
                <a:ext uri="{147F2762-F138-4A5C-976F-8EAC2B608ADB}">
                  <a16:predDERef xmlns:a16="http://schemas.microsoft.com/office/drawing/2014/main" pred="{FAFDFD7B-D45B-40E2-B689-0A14AF3D7B9C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C9CB6FA4-E205-4EEB-832A-9915CEA37069}"/>
                </a:ext>
                <a:ext uri="{147F2762-F138-4A5C-976F-8EAC2B608ADB}">
                  <a16:predDERef xmlns:a16="http://schemas.microsoft.com/office/drawing/2014/main" pred="{C90C409F-B81F-4008-846D-202F13087512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E3700E95-EAB2-4123-9B38-87261914EECE}"/>
                </a:ext>
                <a:ext uri="{147F2762-F138-4A5C-976F-8EAC2B608ADB}">
                  <a16:predDERef xmlns:a16="http://schemas.microsoft.com/office/drawing/2014/main" pred="{C9CB6FA4-E205-4EEB-832A-9915CEA37069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9BDAB611-4122-4EA9-918F-FDFD767B618E}"/>
                </a:ext>
                <a:ext uri="{147F2762-F138-4A5C-976F-8EAC2B608ADB}">
                  <a16:predDERef xmlns:a16="http://schemas.microsoft.com/office/drawing/2014/main" pred="{E3700E95-EAB2-4123-9B38-87261914EECE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A177200D-419E-4FCD-97E0-613B0E0F4E11}"/>
                </a:ext>
                <a:ext uri="{147F2762-F138-4A5C-976F-8EAC2B608ADB}">
                  <a16:predDERef xmlns:a16="http://schemas.microsoft.com/office/drawing/2014/main" pred="{9BDAB611-4122-4EA9-918F-FDFD767B618E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DBD86D80-938D-4831-9429-238177AF61F3}"/>
                </a:ext>
                <a:ext uri="{147F2762-F138-4A5C-976F-8EAC2B608ADB}">
                  <a16:predDERef xmlns:a16="http://schemas.microsoft.com/office/drawing/2014/main" pred="{A177200D-419E-4FCD-97E0-613B0E0F4E11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28575</xdr:rowOff>
    </xdr:from>
    <xdr:to>
      <xdr:col>35</xdr:col>
      <xdr:colOff>590550</xdr:colOff>
      <xdr:row>17</xdr:row>
      <xdr:rowOff>19050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9F4FF1E6-23F1-41C7-97DB-74432297E3E5}"/>
            </a:ext>
            <a:ext uri="{147F2762-F138-4A5C-976F-8EAC2B608ADB}">
              <a16:predDERef xmlns:a16="http://schemas.microsoft.com/office/drawing/2014/main" pred="{DBD86D80-938D-4831-9429-238177AF6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8F766F33-2B5C-4CF8-86FD-9430CF987409}"/>
            </a:ext>
            <a:ext uri="{147F2762-F138-4A5C-976F-8EAC2B608ADB}">
              <a16:predDERef xmlns:a16="http://schemas.microsoft.com/office/drawing/2014/main" pred="{9F4FF1E6-23F1-41C7-97DB-74432297E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10EC6C8E-9ABF-487C-BC01-2B631CF0BE5D}"/>
            </a:ext>
            <a:ext uri="{147F2762-F138-4A5C-976F-8EAC2B608ADB}">
              <a16:predDERef xmlns:a16="http://schemas.microsoft.com/office/drawing/2014/main" pred="{8F766F33-2B5C-4CF8-86FD-9430CF987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268E2A7D-3893-4BF6-A104-B35CC67A67E3}"/>
            </a:ext>
            <a:ext uri="{147F2762-F138-4A5C-976F-8EAC2B608ADB}">
              <a16:predDERef xmlns:a16="http://schemas.microsoft.com/office/drawing/2014/main" pred="{10EC6C8E-9ABF-487C-BC01-2B631CF0B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9EF6C9F8-D85E-405B-9CCA-ABF114E2D02C}"/>
            </a:ext>
            <a:ext uri="{147F2762-F138-4A5C-976F-8EAC2B608ADB}">
              <a16:predDERef xmlns:a16="http://schemas.microsoft.com/office/drawing/2014/main" pred="{268E2A7D-3893-4BF6-A104-B35CC67A6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C19E4444-646F-45A5-BE3B-7A53FFDFB5B3}"/>
            </a:ext>
            <a:ext uri="{147F2762-F138-4A5C-976F-8EAC2B608ADB}">
              <a16:predDERef xmlns:a16="http://schemas.microsoft.com/office/drawing/2014/main" pred="{9EF6C9F8-D85E-405B-9CCA-ABF114E2D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8774D7F8-2A01-4427-9571-05FD66CDB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2</xdr:col>
      <xdr:colOff>28575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23C7A865-C940-4532-9E89-8A4BB1D484AC}"/>
                </a:ext>
                <a:ext uri="{147F2762-F138-4A5C-976F-8EAC2B608ADB}">
                  <a16:predDERef xmlns:a16="http://schemas.microsoft.com/office/drawing/2014/main" pred="{8774D7F8-2A01-4427-9571-05FD66CDB065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53FE599A-02FD-4003-9952-B023C00E59D9}"/>
                </a:ext>
                <a:ext uri="{147F2762-F138-4A5C-976F-8EAC2B608ADB}">
                  <a16:predDERef xmlns:a16="http://schemas.microsoft.com/office/drawing/2014/main" pred="{23C7A865-C940-4532-9E89-8A4BB1D484AC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2E6E6564-682E-4A77-9DA5-1C3F16E3AB7A}"/>
                </a:ext>
                <a:ext uri="{147F2762-F138-4A5C-976F-8EAC2B608ADB}">
                  <a16:predDERef xmlns:a16="http://schemas.microsoft.com/office/drawing/2014/main" pred="{53FE599A-02FD-4003-9952-B023C00E59D9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82CEEDD8-8A66-44BE-9A10-1221904FB859}"/>
                </a:ext>
                <a:ext uri="{147F2762-F138-4A5C-976F-8EAC2B608ADB}">
                  <a16:predDERef xmlns:a16="http://schemas.microsoft.com/office/drawing/2014/main" pred="{2E6E6564-682E-4A77-9DA5-1C3F16E3AB7A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6D6D05B3-4C85-496C-AA13-6EAB6AF69C21}"/>
                </a:ext>
                <a:ext uri="{147F2762-F138-4A5C-976F-8EAC2B608ADB}">
                  <a16:predDERef xmlns:a16="http://schemas.microsoft.com/office/drawing/2014/main" pred="{82CEEDD8-8A66-44BE-9A10-1221904FB859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5F6DB61B-FFD8-4916-831D-EAD26C735D3E}"/>
                </a:ext>
                <a:ext uri="{147F2762-F138-4A5C-976F-8EAC2B608ADB}">
                  <a16:predDERef xmlns:a16="http://schemas.microsoft.com/office/drawing/2014/main" pred="{6D6D05B3-4C85-496C-AA13-6EAB6AF69C21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4E59FB30-0F6D-44D1-8399-B1911C7F0643}"/>
                </a:ext>
                <a:ext uri="{147F2762-F138-4A5C-976F-8EAC2B608ADB}">
                  <a16:predDERef xmlns:a16="http://schemas.microsoft.com/office/drawing/2014/main" pred="{5F6DB61B-FFD8-4916-831D-EAD26C735D3E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794A3032-3251-439D-849A-79B07A8C857F}"/>
                </a:ext>
                <a:ext uri="{147F2762-F138-4A5C-976F-8EAC2B608ADB}">
                  <a16:predDERef xmlns:a16="http://schemas.microsoft.com/office/drawing/2014/main" pred="{4E59FB30-0F6D-44D1-8399-B1911C7F0643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F11A0AC1-97CF-4FDE-BD35-6ECBFDF6BD27}"/>
                </a:ext>
                <a:ext uri="{147F2762-F138-4A5C-976F-8EAC2B608ADB}">
                  <a16:predDERef xmlns:a16="http://schemas.microsoft.com/office/drawing/2014/main" pred="{794A3032-3251-439D-849A-79B07A8C857F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28575</xdr:rowOff>
    </xdr:from>
    <xdr:to>
      <xdr:col>35</xdr:col>
      <xdr:colOff>590550</xdr:colOff>
      <xdr:row>17</xdr:row>
      <xdr:rowOff>19050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895B0088-D2AA-4473-A642-864D5524458B}"/>
            </a:ext>
            <a:ext uri="{147F2762-F138-4A5C-976F-8EAC2B608ADB}">
              <a16:predDERef xmlns:a16="http://schemas.microsoft.com/office/drawing/2014/main" pred="{F11A0AC1-97CF-4FDE-BD35-6ECBFDF6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9E50C5C0-AC82-40FE-8AEA-8B7B01ADB548}"/>
            </a:ext>
            <a:ext uri="{147F2762-F138-4A5C-976F-8EAC2B608ADB}">
              <a16:predDERef xmlns:a16="http://schemas.microsoft.com/office/drawing/2014/main" pred="{895B0088-D2AA-4473-A642-864D55244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7B6DF06E-BC33-4D64-BC5E-C4079FC4A0A7}"/>
            </a:ext>
            <a:ext uri="{147F2762-F138-4A5C-976F-8EAC2B608ADB}">
              <a16:predDERef xmlns:a16="http://schemas.microsoft.com/office/drawing/2014/main" pred="{9E50C5C0-AC82-40FE-8AEA-8B7B01ADB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8EEFF5AD-D9DC-411A-8B26-224494820CE4}"/>
            </a:ext>
            <a:ext uri="{147F2762-F138-4A5C-976F-8EAC2B608ADB}">
              <a16:predDERef xmlns:a16="http://schemas.microsoft.com/office/drawing/2014/main" pred="{7B6DF06E-BC33-4D64-BC5E-C4079FC4A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F1A643BF-9FBD-44D4-BD39-DCA4CD2BD2A4}"/>
            </a:ext>
            <a:ext uri="{147F2762-F138-4A5C-976F-8EAC2B608ADB}">
              <a16:predDERef xmlns:a16="http://schemas.microsoft.com/office/drawing/2014/main" pred="{8EEFF5AD-D9DC-411A-8B26-224494820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7B0E609B-BCA0-44DA-9146-E115EC4C0481}"/>
            </a:ext>
            <a:ext uri="{147F2762-F138-4A5C-976F-8EAC2B608ADB}">
              <a16:predDERef xmlns:a16="http://schemas.microsoft.com/office/drawing/2014/main" pred="{F1A643BF-9FBD-44D4-BD39-DCA4CD2BD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9BD85A97-E40D-4B87-9826-42EA01124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2</xdr:col>
      <xdr:colOff>28575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44066EEA-A5ED-4FF7-A429-744D76B8A950}"/>
                </a:ext>
                <a:ext uri="{147F2762-F138-4A5C-976F-8EAC2B608ADB}">
                  <a16:predDERef xmlns:a16="http://schemas.microsoft.com/office/drawing/2014/main" pred="{9BD85A97-E40D-4B87-9826-42EA01124952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0ACAA0AD-D9B6-42DF-9C49-4FB1097B8124}"/>
                </a:ext>
                <a:ext uri="{147F2762-F138-4A5C-976F-8EAC2B608ADB}">
                  <a16:predDERef xmlns:a16="http://schemas.microsoft.com/office/drawing/2014/main" pred="{44066EEA-A5ED-4FF7-A429-744D76B8A950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D5DBCAA5-AA84-40A7-A12E-94D49DCEF77C}"/>
                </a:ext>
                <a:ext uri="{147F2762-F138-4A5C-976F-8EAC2B608ADB}">
                  <a16:predDERef xmlns:a16="http://schemas.microsoft.com/office/drawing/2014/main" pred="{0ACAA0AD-D9B6-42DF-9C49-4FB1097B8124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F3475039-0C15-4DA5-813C-00DE260D7AB6}"/>
                </a:ext>
                <a:ext uri="{147F2762-F138-4A5C-976F-8EAC2B608ADB}">
                  <a16:predDERef xmlns:a16="http://schemas.microsoft.com/office/drawing/2014/main" pred="{D5DBCAA5-AA84-40A7-A12E-94D49DCEF77C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6BFFF78A-F66B-4ED5-A629-EA1FC8A9B09F}"/>
                </a:ext>
                <a:ext uri="{147F2762-F138-4A5C-976F-8EAC2B608ADB}">
                  <a16:predDERef xmlns:a16="http://schemas.microsoft.com/office/drawing/2014/main" pred="{F3475039-0C15-4DA5-813C-00DE260D7AB6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F5D78D48-6304-4740-9136-6A3F673DE221}"/>
                </a:ext>
                <a:ext uri="{147F2762-F138-4A5C-976F-8EAC2B608ADB}">
                  <a16:predDERef xmlns:a16="http://schemas.microsoft.com/office/drawing/2014/main" pred="{6BFFF78A-F66B-4ED5-A629-EA1FC8A9B09F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9E8E863A-61A8-44EF-8DA2-D455359D8F07}"/>
                </a:ext>
                <a:ext uri="{147F2762-F138-4A5C-976F-8EAC2B608ADB}">
                  <a16:predDERef xmlns:a16="http://schemas.microsoft.com/office/drawing/2014/main" pred="{F5D78D48-6304-4740-9136-6A3F673DE221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A7F3A919-847B-4971-9F53-E1B1E638B652}"/>
                </a:ext>
                <a:ext uri="{147F2762-F138-4A5C-976F-8EAC2B608ADB}">
                  <a16:predDERef xmlns:a16="http://schemas.microsoft.com/office/drawing/2014/main" pred="{9E8E863A-61A8-44EF-8DA2-D455359D8F07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9D2F1F78-A0FA-42F9-A96B-3801FF0E7FC1}"/>
                </a:ext>
                <a:ext uri="{147F2762-F138-4A5C-976F-8EAC2B608ADB}">
                  <a16:predDERef xmlns:a16="http://schemas.microsoft.com/office/drawing/2014/main" pred="{A7F3A919-847B-4971-9F53-E1B1E638B652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28575</xdr:rowOff>
    </xdr:from>
    <xdr:to>
      <xdr:col>35</xdr:col>
      <xdr:colOff>590550</xdr:colOff>
      <xdr:row>17</xdr:row>
      <xdr:rowOff>19050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F8703265-7EF2-437F-84D9-C6CC53244DBF}"/>
            </a:ext>
            <a:ext uri="{147F2762-F138-4A5C-976F-8EAC2B608ADB}">
              <a16:predDERef xmlns:a16="http://schemas.microsoft.com/office/drawing/2014/main" pred="{9D2F1F78-A0FA-42F9-A96B-3801FF0E7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A58FF21D-4725-49BF-A194-2DCADDCD1C77}"/>
            </a:ext>
            <a:ext uri="{147F2762-F138-4A5C-976F-8EAC2B608ADB}">
              <a16:predDERef xmlns:a16="http://schemas.microsoft.com/office/drawing/2014/main" pred="{F8703265-7EF2-437F-84D9-C6CC53244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EE8A7FCC-3E9F-4803-B8D2-B63F081FD932}"/>
            </a:ext>
            <a:ext uri="{147F2762-F138-4A5C-976F-8EAC2B608ADB}">
              <a16:predDERef xmlns:a16="http://schemas.microsoft.com/office/drawing/2014/main" pred="{A58FF21D-4725-49BF-A194-2DCADDCD1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96667E0F-2C5E-4D48-A1D6-658206628F2C}"/>
            </a:ext>
            <a:ext uri="{147F2762-F138-4A5C-976F-8EAC2B608ADB}">
              <a16:predDERef xmlns:a16="http://schemas.microsoft.com/office/drawing/2014/main" pred="{EE8A7FCC-3E9F-4803-B8D2-B63F081FD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31C923FB-3F7F-4E8B-8C5E-64715E514FB7}"/>
            </a:ext>
            <a:ext uri="{147F2762-F138-4A5C-976F-8EAC2B608ADB}">
              <a16:predDERef xmlns:a16="http://schemas.microsoft.com/office/drawing/2014/main" pred="{96667E0F-2C5E-4D48-A1D6-658206628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11862B22-15CC-45F3-A9A6-2E222DEADD68}"/>
            </a:ext>
            <a:ext uri="{147F2762-F138-4A5C-976F-8EAC2B608ADB}">
              <a16:predDERef xmlns:a16="http://schemas.microsoft.com/office/drawing/2014/main" pred="{31C923FB-3F7F-4E8B-8C5E-64715E514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FCDC054-1713-4B5D-94E6-761A02F5D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1</xdr:col>
      <xdr:colOff>1133475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47CAF087-0153-4AE5-9C9D-66AB6E7C11B3}"/>
                </a:ext>
                <a:ext uri="{147F2762-F138-4A5C-976F-8EAC2B608ADB}">
                  <a16:predDERef xmlns:a16="http://schemas.microsoft.com/office/drawing/2014/main" pred="{3FCDC054-1713-4B5D-94E6-761A02F5DE6A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E73DED5D-BACA-4240-B888-F8BBFC84E376}"/>
                </a:ext>
                <a:ext uri="{147F2762-F138-4A5C-976F-8EAC2B608ADB}">
                  <a16:predDERef xmlns:a16="http://schemas.microsoft.com/office/drawing/2014/main" pred="{47CAF087-0153-4AE5-9C9D-66AB6E7C11B3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197250A2-072F-4F06-91BB-E87CF0EC0322}"/>
                </a:ext>
                <a:ext uri="{147F2762-F138-4A5C-976F-8EAC2B608ADB}">
                  <a16:predDERef xmlns:a16="http://schemas.microsoft.com/office/drawing/2014/main" pred="{E73DED5D-BACA-4240-B888-F8BBFC84E376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5798DEA8-057D-47AB-8468-052E0DA723A1}"/>
                </a:ext>
                <a:ext uri="{147F2762-F138-4A5C-976F-8EAC2B608ADB}">
                  <a16:predDERef xmlns:a16="http://schemas.microsoft.com/office/drawing/2014/main" pred="{197250A2-072F-4F06-91BB-E87CF0EC0322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505B7CB6-E70E-4630-B068-F3B0AE9AF5DA}"/>
                </a:ext>
                <a:ext uri="{147F2762-F138-4A5C-976F-8EAC2B608ADB}">
                  <a16:predDERef xmlns:a16="http://schemas.microsoft.com/office/drawing/2014/main" pred="{5798DEA8-057D-47AB-8468-052E0DA723A1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BA73996D-C2A2-4028-8B13-8C3D293F079C}"/>
                </a:ext>
                <a:ext uri="{147F2762-F138-4A5C-976F-8EAC2B608ADB}">
                  <a16:predDERef xmlns:a16="http://schemas.microsoft.com/office/drawing/2014/main" pred="{505B7CB6-E70E-4630-B068-F3B0AE9AF5DA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CE6FA3B5-6500-483C-A1C4-BC97CD282726}"/>
                </a:ext>
                <a:ext uri="{147F2762-F138-4A5C-976F-8EAC2B608ADB}">
                  <a16:predDERef xmlns:a16="http://schemas.microsoft.com/office/drawing/2014/main" pred="{BA73996D-C2A2-4028-8B13-8C3D293F079C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430E053E-2177-4177-B95E-9B0094258A59}"/>
                </a:ext>
                <a:ext uri="{147F2762-F138-4A5C-976F-8EAC2B608ADB}">
                  <a16:predDERef xmlns:a16="http://schemas.microsoft.com/office/drawing/2014/main" pred="{CE6FA3B5-6500-483C-A1C4-BC97CD282726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7D3A6BED-7506-4357-AC1E-647B4F928A29}"/>
                </a:ext>
                <a:ext uri="{147F2762-F138-4A5C-976F-8EAC2B608ADB}">
                  <a16:predDERef xmlns:a16="http://schemas.microsoft.com/office/drawing/2014/main" pred="{430E053E-2177-4177-B95E-9B0094258A59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28575</xdr:rowOff>
    </xdr:from>
    <xdr:to>
      <xdr:col>35</xdr:col>
      <xdr:colOff>590550</xdr:colOff>
      <xdr:row>17</xdr:row>
      <xdr:rowOff>19050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7057C0F5-9BD9-43C8-94A0-5916880E3ACB}"/>
            </a:ext>
            <a:ext uri="{147F2762-F138-4A5C-976F-8EAC2B608ADB}">
              <a16:predDERef xmlns:a16="http://schemas.microsoft.com/office/drawing/2014/main" pred="{7D3A6BED-7506-4357-AC1E-647B4F928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F4EC3651-568E-4345-9093-0F4BA0CA68D4}"/>
            </a:ext>
            <a:ext uri="{147F2762-F138-4A5C-976F-8EAC2B608ADB}">
              <a16:predDERef xmlns:a16="http://schemas.microsoft.com/office/drawing/2014/main" pred="{7057C0F5-9BD9-43C8-94A0-5916880E3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CC870DEE-AA56-4B82-8487-E24EC13794BD}"/>
            </a:ext>
            <a:ext uri="{147F2762-F138-4A5C-976F-8EAC2B608ADB}">
              <a16:predDERef xmlns:a16="http://schemas.microsoft.com/office/drawing/2014/main" pred="{F4EC3651-568E-4345-9093-0F4BA0CA6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098E0A2D-3E46-4B8F-8859-1BD496E0475A}"/>
            </a:ext>
            <a:ext uri="{147F2762-F138-4A5C-976F-8EAC2B608ADB}">
              <a16:predDERef xmlns:a16="http://schemas.microsoft.com/office/drawing/2014/main" pred="{CC870DEE-AA56-4B82-8487-E24EC1379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F6FA6B9D-08F6-4EF0-85E8-33E9B83911FB}"/>
            </a:ext>
            <a:ext uri="{147F2762-F138-4A5C-976F-8EAC2B608ADB}">
              <a16:predDERef xmlns:a16="http://schemas.microsoft.com/office/drawing/2014/main" pred="{098E0A2D-3E46-4B8F-8859-1BD496E04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AC9CC88F-E667-4D80-9289-6115DFE81A19}"/>
            </a:ext>
            <a:ext uri="{147F2762-F138-4A5C-976F-8EAC2B608ADB}">
              <a16:predDERef xmlns:a16="http://schemas.microsoft.com/office/drawing/2014/main" pred="{F6FA6B9D-08F6-4EF0-85E8-33E9B8391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9F50728-8EBB-4BCF-8524-162228B3F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1</xdr:col>
      <xdr:colOff>1133475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AFDF58BD-4044-4A10-9148-0E4821E19C06}"/>
                </a:ext>
                <a:ext uri="{147F2762-F138-4A5C-976F-8EAC2B608ADB}">
                  <a16:predDERef xmlns:a16="http://schemas.microsoft.com/office/drawing/2014/main" pred="{39F50728-8EBB-4BCF-8524-162228B3F23E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37EC1F88-9100-4EE8-8CDE-29AC4444916F}"/>
                </a:ext>
                <a:ext uri="{147F2762-F138-4A5C-976F-8EAC2B608ADB}">
                  <a16:predDERef xmlns:a16="http://schemas.microsoft.com/office/drawing/2014/main" pred="{AFDF58BD-4044-4A10-9148-0E4821E19C06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30CD7347-8CEB-4AC9-B529-B35D57C4C282}"/>
                </a:ext>
                <a:ext uri="{147F2762-F138-4A5C-976F-8EAC2B608ADB}">
                  <a16:predDERef xmlns:a16="http://schemas.microsoft.com/office/drawing/2014/main" pred="{37EC1F88-9100-4EE8-8CDE-29AC4444916F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8974F79E-10AB-4788-94E1-544926D9CA3F}"/>
                </a:ext>
                <a:ext uri="{147F2762-F138-4A5C-976F-8EAC2B608ADB}">
                  <a16:predDERef xmlns:a16="http://schemas.microsoft.com/office/drawing/2014/main" pred="{30CD7347-8CEB-4AC9-B529-B35D57C4C282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2500889B-9AA6-4CB2-85E1-AA0CA6EA35B9}"/>
                </a:ext>
                <a:ext uri="{147F2762-F138-4A5C-976F-8EAC2B608ADB}">
                  <a16:predDERef xmlns:a16="http://schemas.microsoft.com/office/drawing/2014/main" pred="{8974F79E-10AB-4788-94E1-544926D9CA3F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DC56D836-170B-4878-8FE0-6E8ED4565C13}"/>
                </a:ext>
                <a:ext uri="{147F2762-F138-4A5C-976F-8EAC2B608ADB}">
                  <a16:predDERef xmlns:a16="http://schemas.microsoft.com/office/drawing/2014/main" pred="{2500889B-9AA6-4CB2-85E1-AA0CA6EA35B9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DE722D1D-EDF1-40CB-A997-610B26220742}"/>
                </a:ext>
                <a:ext uri="{147F2762-F138-4A5C-976F-8EAC2B608ADB}">
                  <a16:predDERef xmlns:a16="http://schemas.microsoft.com/office/drawing/2014/main" pred="{DC56D836-170B-4878-8FE0-6E8ED4565C13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76A4D705-C0F6-46B7-A6C7-185985724167}"/>
                </a:ext>
                <a:ext uri="{147F2762-F138-4A5C-976F-8EAC2B608ADB}">
                  <a16:predDERef xmlns:a16="http://schemas.microsoft.com/office/drawing/2014/main" pred="{DE722D1D-EDF1-40CB-A997-610B26220742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06ACEDE5-3258-455C-8770-D00072A77767}"/>
                </a:ext>
                <a:ext uri="{147F2762-F138-4A5C-976F-8EAC2B608ADB}">
                  <a16:predDERef xmlns:a16="http://schemas.microsoft.com/office/drawing/2014/main" pred="{76A4D705-C0F6-46B7-A6C7-185985724167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28575</xdr:rowOff>
    </xdr:from>
    <xdr:to>
      <xdr:col>35</xdr:col>
      <xdr:colOff>590550</xdr:colOff>
      <xdr:row>17</xdr:row>
      <xdr:rowOff>19050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FD12120A-7BB3-47FC-BF0D-C3F4334F0D87}"/>
            </a:ext>
            <a:ext uri="{147F2762-F138-4A5C-976F-8EAC2B608ADB}">
              <a16:predDERef xmlns:a16="http://schemas.microsoft.com/office/drawing/2014/main" pred="{06ACEDE5-3258-455C-8770-D00072A77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E5C9EE46-0A29-472E-BA1F-4E2DD7694E1B}"/>
            </a:ext>
            <a:ext uri="{147F2762-F138-4A5C-976F-8EAC2B608ADB}">
              <a16:predDERef xmlns:a16="http://schemas.microsoft.com/office/drawing/2014/main" pred="{FD12120A-7BB3-47FC-BF0D-C3F4334F0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CD045552-A283-4855-A086-CD7362EB2C4B}"/>
            </a:ext>
            <a:ext uri="{147F2762-F138-4A5C-976F-8EAC2B608ADB}">
              <a16:predDERef xmlns:a16="http://schemas.microsoft.com/office/drawing/2014/main" pred="{E5C9EE46-0A29-472E-BA1F-4E2DD7694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69DF4D01-9D2A-4461-A656-A232F283E950}"/>
            </a:ext>
            <a:ext uri="{147F2762-F138-4A5C-976F-8EAC2B608ADB}">
              <a16:predDERef xmlns:a16="http://schemas.microsoft.com/office/drawing/2014/main" pred="{CD045552-A283-4855-A086-CD7362EB2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989BE1A0-366A-449F-A94A-AE443ED81D0F}"/>
            </a:ext>
            <a:ext uri="{147F2762-F138-4A5C-976F-8EAC2B608ADB}">
              <a16:predDERef xmlns:a16="http://schemas.microsoft.com/office/drawing/2014/main" pred="{69DF4D01-9D2A-4461-A656-A232F283E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82C6E4A4-0CE9-4FFB-89A0-BDBD8743FFA7}"/>
            </a:ext>
            <a:ext uri="{147F2762-F138-4A5C-976F-8EAC2B608ADB}">
              <a16:predDERef xmlns:a16="http://schemas.microsoft.com/office/drawing/2014/main" pred="{989BE1A0-366A-449F-A94A-AE443ED81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A2DA92A0-2E58-47CF-82B7-7562426BF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1</xdr:col>
      <xdr:colOff>1133475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8A6FB5E1-8768-48E4-A83D-7A36CB582E7C}"/>
                </a:ext>
                <a:ext uri="{147F2762-F138-4A5C-976F-8EAC2B608ADB}">
                  <a16:predDERef xmlns:a16="http://schemas.microsoft.com/office/drawing/2014/main" pred="{A2DA92A0-2E58-47CF-82B7-7562426BF2C9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5D8992F1-0E36-4325-BDD4-9B46082C21D0}"/>
                </a:ext>
                <a:ext uri="{147F2762-F138-4A5C-976F-8EAC2B608ADB}">
                  <a16:predDERef xmlns:a16="http://schemas.microsoft.com/office/drawing/2014/main" pred="{8A6FB5E1-8768-48E4-A83D-7A36CB582E7C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9B77CA8F-BC6B-44EB-B23C-3A6430F3818B}"/>
                </a:ext>
                <a:ext uri="{147F2762-F138-4A5C-976F-8EAC2B608ADB}">
                  <a16:predDERef xmlns:a16="http://schemas.microsoft.com/office/drawing/2014/main" pred="{5D8992F1-0E36-4325-BDD4-9B46082C21D0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AA611820-9969-449A-A1A5-F4D2AD28CD7E}"/>
                </a:ext>
                <a:ext uri="{147F2762-F138-4A5C-976F-8EAC2B608ADB}">
                  <a16:predDERef xmlns:a16="http://schemas.microsoft.com/office/drawing/2014/main" pred="{9B77CA8F-BC6B-44EB-B23C-3A6430F3818B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78B35A9B-8ACD-4F2C-8C3B-DA158E04DFBB}"/>
                </a:ext>
                <a:ext uri="{147F2762-F138-4A5C-976F-8EAC2B608ADB}">
                  <a16:predDERef xmlns:a16="http://schemas.microsoft.com/office/drawing/2014/main" pred="{AA611820-9969-449A-A1A5-F4D2AD28CD7E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A22CAD81-9AE4-42F1-AFEA-9FCCAF76123A}"/>
                </a:ext>
                <a:ext uri="{147F2762-F138-4A5C-976F-8EAC2B608ADB}">
                  <a16:predDERef xmlns:a16="http://schemas.microsoft.com/office/drawing/2014/main" pred="{78B35A9B-8ACD-4F2C-8C3B-DA158E04DFBB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8EC3262E-F47A-4692-81B0-089B670CEA70}"/>
                </a:ext>
                <a:ext uri="{147F2762-F138-4A5C-976F-8EAC2B608ADB}">
                  <a16:predDERef xmlns:a16="http://schemas.microsoft.com/office/drawing/2014/main" pred="{A22CAD81-9AE4-42F1-AFEA-9FCCAF76123A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4B3137BB-C426-4957-98F8-8E4FB56C3303}"/>
                </a:ext>
                <a:ext uri="{147F2762-F138-4A5C-976F-8EAC2B608ADB}">
                  <a16:predDERef xmlns:a16="http://schemas.microsoft.com/office/drawing/2014/main" pred="{8EC3262E-F47A-4692-81B0-089B670CEA70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37305B0F-447B-482A-8AEB-941FD68F33F0}"/>
                </a:ext>
                <a:ext uri="{147F2762-F138-4A5C-976F-8EAC2B608ADB}">
                  <a16:predDERef xmlns:a16="http://schemas.microsoft.com/office/drawing/2014/main" pred="{4B3137BB-C426-4957-98F8-8E4FB56C3303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28575</xdr:rowOff>
    </xdr:from>
    <xdr:to>
      <xdr:col>35</xdr:col>
      <xdr:colOff>590550</xdr:colOff>
      <xdr:row>17</xdr:row>
      <xdr:rowOff>19050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AC9A2AC2-DCF8-4036-947E-7BE6BD822A81}"/>
            </a:ext>
            <a:ext uri="{147F2762-F138-4A5C-976F-8EAC2B608ADB}">
              <a16:predDERef xmlns:a16="http://schemas.microsoft.com/office/drawing/2014/main" pred="{37305B0F-447B-482A-8AEB-941FD68F3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BA408A0C-D74B-4274-94ED-22FCD745FC2E}"/>
            </a:ext>
            <a:ext uri="{147F2762-F138-4A5C-976F-8EAC2B608ADB}">
              <a16:predDERef xmlns:a16="http://schemas.microsoft.com/office/drawing/2014/main" pred="{AC9A2AC2-DCF8-4036-947E-7BE6BD822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B86A5E28-7A17-4967-8DBF-111B77E98748}"/>
            </a:ext>
            <a:ext uri="{147F2762-F138-4A5C-976F-8EAC2B608ADB}">
              <a16:predDERef xmlns:a16="http://schemas.microsoft.com/office/drawing/2014/main" pred="{BA408A0C-D74B-4274-94ED-22FCD745F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243ED3F1-1AD9-4B93-A960-5EE164DAFEAD}"/>
            </a:ext>
            <a:ext uri="{147F2762-F138-4A5C-976F-8EAC2B608ADB}">
              <a16:predDERef xmlns:a16="http://schemas.microsoft.com/office/drawing/2014/main" pred="{B86A5E28-7A17-4967-8DBF-111B77E98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63DA9A3E-DC79-4DB5-B88D-E3697B5B2E70}"/>
            </a:ext>
            <a:ext uri="{147F2762-F138-4A5C-976F-8EAC2B608ADB}">
              <a16:predDERef xmlns:a16="http://schemas.microsoft.com/office/drawing/2014/main" pred="{243ED3F1-1AD9-4B93-A960-5EE164DAF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2DF4B19D-DEC7-4C7C-AA73-D4AA04E0F5A6}"/>
            </a:ext>
            <a:ext uri="{147F2762-F138-4A5C-976F-8EAC2B608ADB}">
              <a16:predDERef xmlns:a16="http://schemas.microsoft.com/office/drawing/2014/main" pred="{63DA9A3E-DC79-4DB5-B88D-E3697B5B2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AD13C734-85CB-4A37-AE87-BC8BCFF09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1</xdr:col>
      <xdr:colOff>1133475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9FEDD078-7D3F-474D-A29F-94FD121A7343}"/>
                </a:ext>
                <a:ext uri="{147F2762-F138-4A5C-976F-8EAC2B608ADB}">
                  <a16:predDERef xmlns:a16="http://schemas.microsoft.com/office/drawing/2014/main" pred="{AD13C734-85CB-4A37-AE87-BC8BCFF099C4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F283889D-4177-4B61-8BCF-CA00635FF256}"/>
                </a:ext>
                <a:ext uri="{147F2762-F138-4A5C-976F-8EAC2B608ADB}">
                  <a16:predDERef xmlns:a16="http://schemas.microsoft.com/office/drawing/2014/main" pred="{9FEDD078-7D3F-474D-A29F-94FD121A7343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981DD02C-AC53-4A81-B5C2-016CFA9A084A}"/>
                </a:ext>
                <a:ext uri="{147F2762-F138-4A5C-976F-8EAC2B608ADB}">
                  <a16:predDERef xmlns:a16="http://schemas.microsoft.com/office/drawing/2014/main" pred="{F283889D-4177-4B61-8BCF-CA00635FF256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31BBB9A5-C850-44D4-A2D1-E7B68E38F724}"/>
                </a:ext>
                <a:ext uri="{147F2762-F138-4A5C-976F-8EAC2B608ADB}">
                  <a16:predDERef xmlns:a16="http://schemas.microsoft.com/office/drawing/2014/main" pred="{981DD02C-AC53-4A81-B5C2-016CFA9A084A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A9DE474D-2A88-4D9B-860C-D376E83B3A06}"/>
                </a:ext>
                <a:ext uri="{147F2762-F138-4A5C-976F-8EAC2B608ADB}">
                  <a16:predDERef xmlns:a16="http://schemas.microsoft.com/office/drawing/2014/main" pred="{31BBB9A5-C850-44D4-A2D1-E7B68E38F724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256F4E62-FFE0-402C-B756-6B0F7BFE2E17}"/>
                </a:ext>
                <a:ext uri="{147F2762-F138-4A5C-976F-8EAC2B608ADB}">
                  <a16:predDERef xmlns:a16="http://schemas.microsoft.com/office/drawing/2014/main" pred="{A9DE474D-2A88-4D9B-860C-D376E83B3A06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9D3DB17B-D897-4627-A86E-C2B90E09F1B8}"/>
                </a:ext>
                <a:ext uri="{147F2762-F138-4A5C-976F-8EAC2B608ADB}">
                  <a16:predDERef xmlns:a16="http://schemas.microsoft.com/office/drawing/2014/main" pred="{256F4E62-FFE0-402C-B756-6B0F7BFE2E17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C2004FDD-9B78-4006-B175-AB94B58334F7}"/>
                </a:ext>
                <a:ext uri="{147F2762-F138-4A5C-976F-8EAC2B608ADB}">
                  <a16:predDERef xmlns:a16="http://schemas.microsoft.com/office/drawing/2014/main" pred="{9D3DB17B-D897-4627-A86E-C2B90E09F1B8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3EB9AEF4-BB87-4122-B550-FB0EF08C95CE}"/>
                </a:ext>
                <a:ext uri="{147F2762-F138-4A5C-976F-8EAC2B608ADB}">
                  <a16:predDERef xmlns:a16="http://schemas.microsoft.com/office/drawing/2014/main" pred="{C2004FDD-9B78-4006-B175-AB94B58334F7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28575</xdr:rowOff>
    </xdr:from>
    <xdr:to>
      <xdr:col>35</xdr:col>
      <xdr:colOff>590550</xdr:colOff>
      <xdr:row>17</xdr:row>
      <xdr:rowOff>19050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F87C809F-8149-4683-B6D0-99BFACD84C76}"/>
            </a:ext>
            <a:ext uri="{147F2762-F138-4A5C-976F-8EAC2B608ADB}">
              <a16:predDERef xmlns:a16="http://schemas.microsoft.com/office/drawing/2014/main" pred="{3EB9AEF4-BB87-4122-B550-FB0EF08C9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89367A4D-C834-4989-8AFF-0F0AA12DA84B}"/>
            </a:ext>
            <a:ext uri="{147F2762-F138-4A5C-976F-8EAC2B608ADB}">
              <a16:predDERef xmlns:a16="http://schemas.microsoft.com/office/drawing/2014/main" pred="{F87C809F-8149-4683-B6D0-99BFACD84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5BD9683D-6AB1-43FE-907A-5B4932555EAB}"/>
            </a:ext>
            <a:ext uri="{147F2762-F138-4A5C-976F-8EAC2B608ADB}">
              <a16:predDERef xmlns:a16="http://schemas.microsoft.com/office/drawing/2014/main" pred="{89367A4D-C834-4989-8AFF-0F0AA12DA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DDF7C5C5-BEB3-479D-9B88-82E181B79FCC}"/>
            </a:ext>
            <a:ext uri="{147F2762-F138-4A5C-976F-8EAC2B608ADB}">
              <a16:predDERef xmlns:a16="http://schemas.microsoft.com/office/drawing/2014/main" pred="{5BD9683D-6AB1-43FE-907A-5B4932555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C50C31F4-B02C-467B-A596-E23783E3624A}"/>
            </a:ext>
            <a:ext uri="{147F2762-F138-4A5C-976F-8EAC2B608ADB}">
              <a16:predDERef xmlns:a16="http://schemas.microsoft.com/office/drawing/2014/main" pred="{DDF7C5C5-BEB3-479D-9B88-82E181B79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3033D83B-2D3F-48EF-94DE-D092B3F51425}"/>
            </a:ext>
            <a:ext uri="{147F2762-F138-4A5C-976F-8EAC2B608ADB}">
              <a16:predDERef xmlns:a16="http://schemas.microsoft.com/office/drawing/2014/main" pred="{C50C31F4-B02C-467B-A596-E23783E36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29</xdr:col>
      <xdr:colOff>0</xdr:colOff>
      <xdr:row>16</xdr:row>
      <xdr:rowOff>161925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5C7EBEFB-09BC-4875-AC62-4438DE4BE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400050</xdr:colOff>
      <xdr:row>12</xdr:row>
      <xdr:rowOff>38100</xdr:rowOff>
    </xdr:from>
    <xdr:to>
      <xdr:col>1</xdr:col>
      <xdr:colOff>1133475</xdr:colOff>
      <xdr:row>12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5A22BA4D-A3D3-4E87-A373-2CB56454A6DD}"/>
                </a:ext>
                <a:ext uri="{147F2762-F138-4A5C-976F-8EAC2B608ADB}">
                  <a16:predDERef xmlns:a16="http://schemas.microsoft.com/office/drawing/2014/main" pred="{5C7EBEFB-09BC-4875-AC62-4438DE4BED47}"/>
                </a:ext>
              </a:extLst>
            </xdr14:cNvPr>
            <xdr14:cNvContentPartPr/>
          </xdr14:nvContentPartPr>
          <xdr14:nvPr macro=""/>
          <xdr14:xfrm>
            <a:off x="1009650" y="2333625"/>
            <a:ext cx="733425" cy="38100"/>
          </xdr14:xfrm>
        </xdr:contentPart>
      </mc:Choice>
      <mc:Fallback xmlns=""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42BF2017-592D-4A46-8D8E-0731BF4A76A3}"/>
                </a:ext>
                <a:ext uri="{147F2762-F138-4A5C-976F-8EAC2B608ADB}">
                  <a16:predDERef xmlns:a16="http://schemas.microsoft.com/office/drawing/2014/main" pred="{2E1B1C26-2C60-4248-ACF2-2CA3B1739A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649" y="2324554"/>
              <a:ext cx="751068" cy="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">
              <a:extLst>
                <a:ext uri="{FF2B5EF4-FFF2-40B4-BE49-F238E27FC236}">
                  <a16:creationId xmlns:a16="http://schemas.microsoft.com/office/drawing/2014/main" id="{27C4E2F4-62ED-48AC-B982-E3524BFA5C93}"/>
                </a:ext>
                <a:ext uri="{147F2762-F138-4A5C-976F-8EAC2B608ADB}">
                  <a16:predDERef xmlns:a16="http://schemas.microsoft.com/office/drawing/2014/main" pred="{5A22BA4D-A3D3-4E87-A373-2CB56454A6DD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">
              <a:extLst>
                <a:ext uri="{FF2B5EF4-FFF2-40B4-BE49-F238E27FC236}">
                  <a16:creationId xmlns:a16="http://schemas.microsoft.com/office/drawing/2014/main" id="{FFD64FB7-F167-454D-A526-E9BE779CFF45}"/>
                </a:ext>
                <a:ext uri="{147F2762-F138-4A5C-976F-8EAC2B608ADB}">
                  <a16:predDERef xmlns:a16="http://schemas.microsoft.com/office/drawing/2014/main" pred="{27C4E2F4-62ED-48AC-B982-E3524BFA5C93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">
              <a:extLst>
                <a:ext uri="{FF2B5EF4-FFF2-40B4-BE49-F238E27FC236}">
                  <a16:creationId xmlns:a16="http://schemas.microsoft.com/office/drawing/2014/main" id="{FBADF682-2566-4C53-B198-3D5E0C18FBDD}"/>
                </a:ext>
                <a:ext uri="{147F2762-F138-4A5C-976F-8EAC2B608ADB}">
                  <a16:predDERef xmlns:a16="http://schemas.microsoft.com/office/drawing/2014/main" pred="{FFD64FB7-F167-454D-A526-E9BE779CFF45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14</xdr:row>
      <xdr:rowOff>161925</xdr:rowOff>
    </xdr:from>
    <xdr:to>
      <xdr:col>2</xdr:col>
      <xdr:colOff>0</xdr:colOff>
      <xdr:row>14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">
              <a:extLst>
                <a:ext uri="{FF2B5EF4-FFF2-40B4-BE49-F238E27FC236}">
                  <a16:creationId xmlns:a16="http://schemas.microsoft.com/office/drawing/2014/main" id="{4838188A-7E87-46E4-A4DB-6FD15960C976}"/>
                </a:ext>
                <a:ext uri="{147F2762-F138-4A5C-976F-8EAC2B608ADB}">
                  <a16:predDERef xmlns:a16="http://schemas.microsoft.com/office/drawing/2014/main" pred="{FBADF682-2566-4C53-B198-3D5E0C18FBDD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10</xdr:row>
      <xdr:rowOff>161925</xdr:rowOff>
    </xdr:from>
    <xdr:to>
      <xdr:col>2</xdr:col>
      <xdr:colOff>0</xdr:colOff>
      <xdr:row>10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D5934E21-E4E9-495B-9131-898133B56689}"/>
                </a:ext>
                <a:ext uri="{147F2762-F138-4A5C-976F-8EAC2B608ADB}">
                  <a16:predDERef xmlns:a16="http://schemas.microsoft.com/office/drawing/2014/main" pred="{4838188A-7E87-46E4-A4DB-6FD15960C976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11</xdr:row>
      <xdr:rowOff>161925</xdr:rowOff>
    </xdr:from>
    <xdr:to>
      <xdr:col>2</xdr:col>
      <xdr:colOff>0</xdr:colOff>
      <xdr:row>11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">
              <a:extLst>
                <a:ext uri="{FF2B5EF4-FFF2-40B4-BE49-F238E27FC236}">
                  <a16:creationId xmlns:a16="http://schemas.microsoft.com/office/drawing/2014/main" id="{9E1453B1-D36F-4BBD-9481-369EE40DE663}"/>
                </a:ext>
                <a:ext uri="{147F2762-F138-4A5C-976F-8EAC2B608ADB}">
                  <a16:predDERef xmlns:a16="http://schemas.microsoft.com/office/drawing/2014/main" pred="{D5934E21-E4E9-495B-9131-898133B56689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12</xdr:row>
      <xdr:rowOff>161925</xdr:rowOff>
    </xdr:from>
    <xdr:to>
      <xdr:col>2</xdr:col>
      <xdr:colOff>0</xdr:colOff>
      <xdr:row>12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">
              <a:extLst>
                <a:ext uri="{FF2B5EF4-FFF2-40B4-BE49-F238E27FC236}">
                  <a16:creationId xmlns:a16="http://schemas.microsoft.com/office/drawing/2014/main" id="{30CBAE28-CDA8-429E-B4CF-2C4E892728AA}"/>
                </a:ext>
                <a:ext uri="{147F2762-F138-4A5C-976F-8EAC2B608ADB}">
                  <a16:predDERef xmlns:a16="http://schemas.microsoft.com/office/drawing/2014/main" pred="{9E1453B1-D36F-4BBD-9481-369EE40DE663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1495425</xdr:colOff>
      <xdr:row>13</xdr:row>
      <xdr:rowOff>161925</xdr:rowOff>
    </xdr:from>
    <xdr:to>
      <xdr:col>2</xdr:col>
      <xdr:colOff>0</xdr:colOff>
      <xdr:row>13</xdr:row>
      <xdr:rowOff>161925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">
              <a:extLst>
                <a:ext uri="{FF2B5EF4-FFF2-40B4-BE49-F238E27FC236}">
                  <a16:creationId xmlns:a16="http://schemas.microsoft.com/office/drawing/2014/main" id="{31949BA0-5B26-49D6-9F65-87DDF54370F2}"/>
                </a:ext>
                <a:ext uri="{147F2762-F138-4A5C-976F-8EAC2B608ADB}">
                  <a16:predDERef xmlns:a16="http://schemas.microsoft.com/office/drawing/2014/main" pred="{30CBAE28-CDA8-429E-B4CF-2C4E892728AA}"/>
                </a:ext>
              </a:extLst>
            </xdr14:cNvPr>
            <xdr14:cNvContentPartPr/>
          </xdr14:nvContentPartPr>
          <xdr14:nvPr macro=""/>
          <xdr14:xfrm>
            <a:off x="2105025" y="2276475"/>
            <a:ext cx="0" cy="0"/>
          </xdr14:xfrm>
        </xdr:contentPart>
      </mc:Choice>
      <mc:Fallback xmlns=""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9E8CD2AE-4E47-46B3-ADF6-5A4B53B8CFB5}"/>
                </a:ext>
                <a:ext uri="{147F2762-F138-4A5C-976F-8EAC2B608ADB}">
                  <a16:predDERef xmlns:a16="http://schemas.microsoft.com/office/drawing/2014/main" pred="{42BF2017-592D-4A46-8D8E-0731BF4A76A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05025" y="22764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552450</xdr:colOff>
      <xdr:row>6</xdr:row>
      <xdr:rowOff>28575</xdr:rowOff>
    </xdr:from>
    <xdr:to>
      <xdr:col>35</xdr:col>
      <xdr:colOff>590550</xdr:colOff>
      <xdr:row>17</xdr:row>
      <xdr:rowOff>19050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2DD18F08-6B6C-4FCD-8F45-457FE1B5559B}"/>
            </a:ext>
            <a:ext uri="{147F2762-F138-4A5C-976F-8EAC2B608ADB}">
              <a16:predDERef xmlns:a16="http://schemas.microsoft.com/office/drawing/2014/main" pred="{31949BA0-5B26-49D6-9F65-87DDF5437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485775</xdr:colOff>
      <xdr:row>39</xdr:row>
      <xdr:rowOff>161925</xdr:rowOff>
    </xdr:from>
    <xdr:to>
      <xdr:col>9</xdr:col>
      <xdr:colOff>200025</xdr:colOff>
      <xdr:row>46</xdr:row>
      <xdr:rowOff>152400</xdr:rowOff>
    </xdr:to>
    <xdr:graphicFrame macro="">
      <xdr:nvGraphicFramePr>
        <xdr:cNvPr id="13" name="Chart 21">
          <a:extLst>
            <a:ext uri="{FF2B5EF4-FFF2-40B4-BE49-F238E27FC236}">
              <a16:creationId xmlns:a16="http://schemas.microsoft.com/office/drawing/2014/main" id="{9190C09F-482B-4D06-B2EC-10BB8EC9E4E2}"/>
            </a:ext>
            <a:ext uri="{147F2762-F138-4A5C-976F-8EAC2B608ADB}">
              <a16:predDERef xmlns:a16="http://schemas.microsoft.com/office/drawing/2014/main" pred="{2DD18F08-6B6C-4FCD-8F45-457FE1B55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38100</xdr:colOff>
      <xdr:row>39</xdr:row>
      <xdr:rowOff>180975</xdr:rowOff>
    </xdr:from>
    <xdr:to>
      <xdr:col>16</xdr:col>
      <xdr:colOff>161925</xdr:colOff>
      <xdr:row>46</xdr:row>
      <xdr:rowOff>142875</xdr:rowOff>
    </xdr:to>
    <xdr:graphicFrame macro="">
      <xdr:nvGraphicFramePr>
        <xdr:cNvPr id="14" name="Chart 22">
          <a:extLst>
            <a:ext uri="{FF2B5EF4-FFF2-40B4-BE49-F238E27FC236}">
              <a16:creationId xmlns:a16="http://schemas.microsoft.com/office/drawing/2014/main" id="{67383FEF-1AF7-4710-AF8F-2FB982462DE4}"/>
            </a:ext>
            <a:ext uri="{147F2762-F138-4A5C-976F-8EAC2B608ADB}">
              <a16:predDERef xmlns:a16="http://schemas.microsoft.com/office/drawing/2014/main" pred="{9190C09F-482B-4D06-B2EC-10BB8EC9E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581025</xdr:colOff>
      <xdr:row>39</xdr:row>
      <xdr:rowOff>161925</xdr:rowOff>
    </xdr:from>
    <xdr:to>
      <xdr:col>23</xdr:col>
      <xdr:colOff>276225</xdr:colOff>
      <xdr:row>46</xdr:row>
      <xdr:rowOff>152400</xdr:rowOff>
    </xdr:to>
    <xdr:graphicFrame macro="">
      <xdr:nvGraphicFramePr>
        <xdr:cNvPr id="15" name="Chart 23">
          <a:extLst>
            <a:ext uri="{FF2B5EF4-FFF2-40B4-BE49-F238E27FC236}">
              <a16:creationId xmlns:a16="http://schemas.microsoft.com/office/drawing/2014/main" id="{1EA4BFD4-80DD-466D-AB34-AE337E3E5812}"/>
            </a:ext>
            <a:ext uri="{147F2762-F138-4A5C-976F-8EAC2B608ADB}">
              <a16:predDERef xmlns:a16="http://schemas.microsoft.com/office/drawing/2014/main" pred="{67383FEF-1AF7-4710-AF8F-2FB982462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123825</xdr:colOff>
      <xdr:row>40</xdr:row>
      <xdr:rowOff>0</xdr:rowOff>
    </xdr:from>
    <xdr:to>
      <xdr:col>32</xdr:col>
      <xdr:colOff>361950</xdr:colOff>
      <xdr:row>46</xdr:row>
      <xdr:rowOff>161925</xdr:rowOff>
    </xdr:to>
    <xdr:graphicFrame macro="">
      <xdr:nvGraphicFramePr>
        <xdr:cNvPr id="16" name="Chart 25">
          <a:extLst>
            <a:ext uri="{FF2B5EF4-FFF2-40B4-BE49-F238E27FC236}">
              <a16:creationId xmlns:a16="http://schemas.microsoft.com/office/drawing/2014/main" id="{B31D7197-6EF6-4F0C-8288-45E41CC0DAB3}"/>
            </a:ext>
            <a:ext uri="{147F2762-F138-4A5C-976F-8EAC2B608ADB}">
              <a16:predDERef xmlns:a16="http://schemas.microsoft.com/office/drawing/2014/main" pred="{1EA4BFD4-80DD-466D-AB34-AE337E3E5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19050</xdr:colOff>
      <xdr:row>40</xdr:row>
      <xdr:rowOff>0</xdr:rowOff>
    </xdr:from>
    <xdr:to>
      <xdr:col>30</xdr:col>
      <xdr:colOff>333375</xdr:colOff>
      <xdr:row>46</xdr:row>
      <xdr:rowOff>152400</xdr:rowOff>
    </xdr:to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0C8130A5-B261-47D9-B969-EE4057473B85}"/>
            </a:ext>
            <a:ext uri="{147F2762-F138-4A5C-976F-8EAC2B608ADB}">
              <a16:predDERef xmlns:a16="http://schemas.microsoft.com/office/drawing/2014/main" pred="{B31D7197-6EF6-4F0C-8288-45E41CC0D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52:46.4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52:46.4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52:46.4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52:46.4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52:46.4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52:46.4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52:46.4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52:46.4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52:46.4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0:05:11.0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36.47">1667 3895 16383 0 0,'0'0'0'0'0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0:05:11.0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0:05:20.3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0:05:20.3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0:05:20.3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1:29:37.6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1:29:37.6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1:29:37.6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1:29:37.6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46:01.1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46:01.1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46:01.1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46:01.1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46:01.1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46:01.1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46:01.1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46:01.1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3:46:01.1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4:43:34.4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4:43:34.4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4:43:34.4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4:43:34.4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4:43:34.4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4:43:34.4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4:43:34.4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4:43:34.4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4:43:34.4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3:32.1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3:32.1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3:32.1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3:32.1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3:32.1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3:32.1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3:32.1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3:32.1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3:32.1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6:46.0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6:46.0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6:46.0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6:46.0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6:46.0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6:46.0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6:46.0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6:46.0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6:46.0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08.8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08.8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08.8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08.8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08.8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08.8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08.8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08.8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18:08.8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3:06.7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3:06.7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3:06.7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3:06.7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3:06.7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3:06.7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3:06.7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3:06.7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3:06.7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4:45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4:45.5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4:45.5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4:45.5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4:45.5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4:45.5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4:45.5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4:45.5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4:45.5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6:19.6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6:19.6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6:19.6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6:19.6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6:19.6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6:19.6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6:19.6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6:19.6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6:19.6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7:37.5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7:37.5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7:37.5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7:37.5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7:37.5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7:37.5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7:37.5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7:37.5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7:37.5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8:42.3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3703 3999 16383 0 0,'0'0'0'0'0</inkml:trace>
  <inkml:trace contextRef="#ctx0" brushRef="#br0" timeOffset="1">1667 3895 16383 0 0,'0'0'0'0'0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8:42.3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8:42.3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8:42.3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8:42.3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8:42.3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8:42.3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8:42.3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2T15:28:42.3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3487 3789 16383 0 0,'0'0'0'0'0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9944-A6BA-4DB8-ACF3-1EC10184A9E8}">
  <dimension ref="A1:A13"/>
  <sheetViews>
    <sheetView workbookViewId="0">
      <selection activeCell="A2" sqref="A2"/>
    </sheetView>
  </sheetViews>
  <sheetFormatPr defaultRowHeight="15"/>
  <cols>
    <col min="1" max="1" width="12.28515625" bestFit="1" customWidth="1"/>
  </cols>
  <sheetData>
    <row r="1" spans="1:1">
      <c r="A1" s="78" t="s">
        <v>0</v>
      </c>
    </row>
    <row r="2" spans="1:1">
      <c r="A2" s="79" t="str">
        <f>HYPERLINK("#'JANUARY'!A1","JANUARY")</f>
        <v>JANUARY</v>
      </c>
    </row>
    <row r="3" spans="1:1">
      <c r="A3" s="79" t="str">
        <f>HYPERLINK("#'FEBRUARY(OR)'!A1","FEBRUARY")</f>
        <v>FEBRUARY</v>
      </c>
    </row>
    <row r="4" spans="1:1">
      <c r="A4" s="79" t="str">
        <f>HYPERLINK("#'MARCH'!A1","MARCH")</f>
        <v>MARCH</v>
      </c>
    </row>
    <row r="5" spans="1:1">
      <c r="A5" s="79" t="str">
        <f>HYPERLINK("#'APRIL'!A1","APRIL")</f>
        <v>APRIL</v>
      </c>
    </row>
    <row r="6" spans="1:1">
      <c r="A6" s="79" t="str">
        <f>HYPERLINK("#'MAY'!A1","MAY")</f>
        <v>MAY</v>
      </c>
    </row>
    <row r="7" spans="1:1">
      <c r="A7" s="79" t="str">
        <f>HYPERLINK("#'JUNE'!A1","JUNE")</f>
        <v>JUNE</v>
      </c>
    </row>
    <row r="8" spans="1:1">
      <c r="A8" s="79" t="str">
        <f>HYPERLINK("#'JULY'!A1","JULY")</f>
        <v>JULY</v>
      </c>
    </row>
    <row r="9" spans="1:1">
      <c r="A9" s="79" t="str">
        <f>HYPERLINK("#'AUGUST'!A1","AUGUST")</f>
        <v>AUGUST</v>
      </c>
    </row>
    <row r="10" spans="1:1">
      <c r="A10" s="79" t="str">
        <f>HYPERLINK("#'SEPTEMBER!A1","SEPTEMBER")</f>
        <v>SEPTEMBER</v>
      </c>
    </row>
    <row r="11" spans="1:1">
      <c r="A11" s="79" t="str">
        <f>HYPERLINK("#'OCTOBER'!A1","OCTOBER")</f>
        <v>OCTOBER</v>
      </c>
    </row>
    <row r="12" spans="1:1">
      <c r="A12" s="79" t="str">
        <f>HYPERLINK("#'NOVEMBER'!A1","NOVEMBER")</f>
        <v>NOVEMBER</v>
      </c>
    </row>
    <row r="13" spans="1:1">
      <c r="A13" s="79" t="str">
        <f>HYPERLINK("#'DECEMBER'!A1","DECEMBER")</f>
        <v>DECEMBER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AF1A-F155-4349-A3B5-D5701C75FC63}">
  <dimension ref="B2:AJ45"/>
  <sheetViews>
    <sheetView tabSelected="1" topLeftCell="A21" zoomScale="62" workbookViewId="0">
      <selection activeCell="B24" sqref="B24"/>
    </sheetView>
  </sheetViews>
  <sheetFormatPr defaultColWidth="12" defaultRowHeight="15"/>
  <cols>
    <col min="1" max="1" width="12" style="2"/>
    <col min="2" max="2" width="16.5703125" style="2" bestFit="1" customWidth="1"/>
    <col min="3" max="11" width="8.5703125" style="2" bestFit="1" customWidth="1"/>
    <col min="12" max="12" width="9.7109375" style="2" bestFit="1" customWidth="1"/>
    <col min="13" max="13" width="12.42578125" style="2" bestFit="1" customWidth="1"/>
    <col min="14" max="30" width="9.7109375" style="2" bestFit="1" customWidth="1"/>
    <col min="31" max="33" width="9" style="2" bestFit="1" customWidth="1"/>
    <col min="34" max="34" width="14.5703125" style="2" bestFit="1" customWidth="1"/>
    <col min="35" max="35" width="11.42578125" style="2" customWidth="1"/>
    <col min="36" max="16384" width="12" style="2"/>
  </cols>
  <sheetData>
    <row r="2" spans="2:35">
      <c r="B2" s="93" t="s">
        <v>1</v>
      </c>
    </row>
    <row r="3" spans="2:35">
      <c r="B3" s="93"/>
      <c r="AD3" s="94" t="s">
        <v>2</v>
      </c>
      <c r="AE3" s="95"/>
      <c r="AF3" s="96"/>
      <c r="AG3" s="52"/>
      <c r="AH3" s="57" t="s">
        <v>3</v>
      </c>
      <c r="AI3" s="43">
        <f>COUNTIF(C39:AG39,100%)</f>
        <v>20</v>
      </c>
    </row>
    <row r="4" spans="2:35" ht="15" customHeight="1">
      <c r="B4" s="35">
        <f ca="1">TODAY()</f>
        <v>46037</v>
      </c>
      <c r="AD4" s="97">
        <f>COUNTIF(C24:AG36,"TRUE")</f>
        <v>349</v>
      </c>
      <c r="AE4" s="98"/>
      <c r="AF4" s="99"/>
      <c r="AG4" s="53"/>
      <c r="AH4" s="58" t="s">
        <v>4</v>
      </c>
      <c r="AI4" s="55">
        <f>COUNTIF(C39:AG39,"&gt;50%")</f>
        <v>26</v>
      </c>
    </row>
    <row r="5" spans="2:35" ht="18.75">
      <c r="B5" s="36">
        <v>2026</v>
      </c>
      <c r="C5" s="4"/>
      <c r="D5" s="4"/>
      <c r="E5" s="4"/>
      <c r="W5" s="3"/>
      <c r="AD5" s="100">
        <f>AD4/COUNTA(C24:AG36)</f>
        <v>0.86600496277915628</v>
      </c>
      <c r="AE5" s="101"/>
      <c r="AF5" s="102"/>
      <c r="AG5" s="54"/>
      <c r="AH5" s="59" t="s">
        <v>5</v>
      </c>
      <c r="AI5" s="56">
        <f>COUNTIF(C39:AG39,"0%")</f>
        <v>1</v>
      </c>
    </row>
    <row r="6" spans="2:35">
      <c r="B6" s="37"/>
    </row>
    <row r="7" spans="2:35">
      <c r="B7" s="26" t="s">
        <v>6</v>
      </c>
    </row>
    <row r="8" spans="2:35">
      <c r="B8" s="32" t="s">
        <v>7</v>
      </c>
    </row>
    <row r="9" spans="2:35">
      <c r="B9" s="38">
        <f>SUM(C38:I38)/COUNTA(C24:I36)</f>
        <v>0.45054945054945056</v>
      </c>
    </row>
    <row r="10" spans="2:35">
      <c r="B10" s="40" t="s">
        <v>8</v>
      </c>
    </row>
    <row r="11" spans="2:35">
      <c r="B11" s="33">
        <f>SUM(J38:P38)/COUNTA(J24:P36)</f>
        <v>0.98901098901098905</v>
      </c>
    </row>
    <row r="12" spans="2:35">
      <c r="B12" s="39" t="s">
        <v>9</v>
      </c>
    </row>
    <row r="13" spans="2:35">
      <c r="B13" s="33">
        <f>SUM(Q38:W38)/COUNTA(Q24:W36)</f>
        <v>1</v>
      </c>
    </row>
    <row r="14" spans="2:35">
      <c r="B14" s="40" t="s">
        <v>10</v>
      </c>
    </row>
    <row r="15" spans="2:35">
      <c r="B15" s="33">
        <f>SUM(X38:AD38)/COUNTA(X24:AD36)</f>
        <v>0.97802197802197799</v>
      </c>
    </row>
    <row r="16" spans="2:35">
      <c r="B16" s="40" t="s">
        <v>11</v>
      </c>
    </row>
    <row r="17" spans="2:36">
      <c r="B17" s="38">
        <f>SUM(AE38:AG38)/COUNTA(AE24:AG36)</f>
        <v>0.97435897435897434</v>
      </c>
    </row>
    <row r="19" spans="2:36"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2:36" ht="27"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&amp;INT((DAY(AE21)-1)/7)+5</f>
        <v>Week9</v>
      </c>
      <c r="AF20" s="113"/>
      <c r="AG20" s="114"/>
      <c r="AH20" s="87" t="s">
        <v>13</v>
      </c>
      <c r="AI20" s="88"/>
    </row>
    <row r="21" spans="2:36" ht="15" customHeight="1">
      <c r="B21" s="104"/>
      <c r="C21" s="15">
        <f>Sheet2!B10</f>
        <v>46023</v>
      </c>
      <c r="D21" s="16">
        <f>C21+1</f>
        <v>46024</v>
      </c>
      <c r="E21" s="16">
        <f t="shared" ref="E21:AG21" si="1">D21+1</f>
        <v>46025</v>
      </c>
      <c r="F21" s="16">
        <f t="shared" si="1"/>
        <v>46026</v>
      </c>
      <c r="G21" s="16">
        <f t="shared" si="1"/>
        <v>46027</v>
      </c>
      <c r="H21" s="16">
        <f t="shared" si="1"/>
        <v>46028</v>
      </c>
      <c r="I21" s="18">
        <f t="shared" si="1"/>
        <v>46029</v>
      </c>
      <c r="J21" s="16">
        <f t="shared" si="1"/>
        <v>46030</v>
      </c>
      <c r="K21" s="16">
        <f t="shared" si="1"/>
        <v>46031</v>
      </c>
      <c r="L21" s="16">
        <f t="shared" si="1"/>
        <v>46032</v>
      </c>
      <c r="M21" s="17">
        <f t="shared" si="1"/>
        <v>46033</v>
      </c>
      <c r="N21" s="16">
        <f t="shared" si="1"/>
        <v>46034</v>
      </c>
      <c r="O21" s="16">
        <f t="shared" si="1"/>
        <v>46035</v>
      </c>
      <c r="P21" s="18">
        <f t="shared" si="1"/>
        <v>46036</v>
      </c>
      <c r="Q21" s="8">
        <f t="shared" si="1"/>
        <v>46037</v>
      </c>
      <c r="R21" s="8">
        <f t="shared" si="1"/>
        <v>46038</v>
      </c>
      <c r="S21" s="8">
        <f t="shared" si="1"/>
        <v>46039</v>
      </c>
      <c r="T21" s="8">
        <f t="shared" si="1"/>
        <v>46040</v>
      </c>
      <c r="U21" s="8">
        <f t="shared" si="1"/>
        <v>46041</v>
      </c>
      <c r="V21" s="8">
        <f t="shared" si="1"/>
        <v>46042</v>
      </c>
      <c r="W21" s="8">
        <f t="shared" si="1"/>
        <v>46043</v>
      </c>
      <c r="X21" s="15">
        <f>W21+1</f>
        <v>46044</v>
      </c>
      <c r="Y21" s="16">
        <f t="shared" si="1"/>
        <v>46045</v>
      </c>
      <c r="Z21" s="16">
        <f t="shared" si="1"/>
        <v>46046</v>
      </c>
      <c r="AA21" s="16">
        <f t="shared" si="1"/>
        <v>46047</v>
      </c>
      <c r="AB21" s="16">
        <f t="shared" si="1"/>
        <v>46048</v>
      </c>
      <c r="AC21" s="16">
        <f t="shared" si="1"/>
        <v>46049</v>
      </c>
      <c r="AD21" s="16">
        <f t="shared" si="1"/>
        <v>46050</v>
      </c>
      <c r="AE21" s="47">
        <f>AD21+1</f>
        <v>46051</v>
      </c>
      <c r="AF21" s="8">
        <f t="shared" si="1"/>
        <v>46052</v>
      </c>
      <c r="AG21" s="8">
        <f t="shared" si="1"/>
        <v>46053</v>
      </c>
      <c r="AH21" s="89"/>
      <c r="AI21" s="90"/>
    </row>
    <row r="22" spans="2:36" ht="15" customHeight="1">
      <c r="B22" s="104"/>
      <c r="C22" s="10" t="str">
        <f>TEXT(Sheet2!B10,"ddd")</f>
        <v>Thu</v>
      </c>
      <c r="D22" s="9" t="str">
        <f>TEXT(D21,"ddd")</f>
        <v>Fri</v>
      </c>
      <c r="E22" s="9" t="str">
        <f t="shared" ref="E22:AG22" si="2">TEXT(E21,"ddd")</f>
        <v>Sat</v>
      </c>
      <c r="F22" s="9" t="str">
        <f t="shared" si="2"/>
        <v>Sun</v>
      </c>
      <c r="G22" s="9" t="str">
        <f t="shared" si="2"/>
        <v>Mon</v>
      </c>
      <c r="H22" s="9" t="str">
        <f t="shared" si="2"/>
        <v>Tue</v>
      </c>
      <c r="I22" s="11" t="str">
        <f t="shared" si="2"/>
        <v>Wed</v>
      </c>
      <c r="J22" s="9" t="str">
        <f t="shared" si="2"/>
        <v>Thu</v>
      </c>
      <c r="K22" s="9" t="str">
        <f t="shared" si="2"/>
        <v>Fri</v>
      </c>
      <c r="L22" s="9" t="str">
        <f t="shared" si="2"/>
        <v>Sat</v>
      </c>
      <c r="M22" s="9" t="str">
        <f t="shared" si="2"/>
        <v>Sun</v>
      </c>
      <c r="N22" s="9" t="str">
        <f t="shared" si="2"/>
        <v>Mon</v>
      </c>
      <c r="O22" s="9" t="str">
        <f t="shared" si="2"/>
        <v>Tue</v>
      </c>
      <c r="P22" s="11" t="str">
        <f t="shared" si="2"/>
        <v>Wed</v>
      </c>
      <c r="Q22" s="9" t="str">
        <f t="shared" si="2"/>
        <v>Thu</v>
      </c>
      <c r="R22" s="9" t="str">
        <f t="shared" si="2"/>
        <v>Fri</v>
      </c>
      <c r="S22" s="9" t="str">
        <f t="shared" si="2"/>
        <v>Sat</v>
      </c>
      <c r="T22" s="9" t="str">
        <f t="shared" si="2"/>
        <v>Sun</v>
      </c>
      <c r="U22" s="9" t="str">
        <f t="shared" si="2"/>
        <v>Mon</v>
      </c>
      <c r="V22" s="9" t="str">
        <f t="shared" si="2"/>
        <v>Tue</v>
      </c>
      <c r="W22" s="9" t="str">
        <f t="shared" si="2"/>
        <v>Wed</v>
      </c>
      <c r="X22" s="10" t="str">
        <f t="shared" si="2"/>
        <v>Thu</v>
      </c>
      <c r="Y22" s="9" t="str">
        <f t="shared" si="2"/>
        <v>Fri</v>
      </c>
      <c r="Z22" s="9" t="str">
        <f t="shared" si="2"/>
        <v>Sat</v>
      </c>
      <c r="AA22" s="9" t="str">
        <f t="shared" si="2"/>
        <v>Sun</v>
      </c>
      <c r="AB22" s="9" t="str">
        <f t="shared" si="2"/>
        <v>Mon</v>
      </c>
      <c r="AC22" s="9" t="str">
        <f t="shared" si="2"/>
        <v>Tue</v>
      </c>
      <c r="AD22" s="9" t="str">
        <f t="shared" si="2"/>
        <v>Wed</v>
      </c>
      <c r="AE22" s="10" t="str">
        <f t="shared" si="2"/>
        <v>Thu</v>
      </c>
      <c r="AF22" s="9" t="str">
        <f t="shared" si="2"/>
        <v>Fri</v>
      </c>
      <c r="AG22" s="9" t="str">
        <f t="shared" si="2"/>
        <v>Sat</v>
      </c>
      <c r="AH22" s="89"/>
      <c r="AI22" s="90"/>
    </row>
    <row r="23" spans="2:36" ht="15" customHeight="1"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</row>
    <row r="24" spans="2:36">
      <c r="B24" s="6" t="s">
        <v>14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2:36">
      <c r="B25" s="6" t="s">
        <v>15</v>
      </c>
      <c r="C25" s="19" t="b">
        <v>0</v>
      </c>
      <c r="D25" s="21" t="b">
        <v>0</v>
      </c>
      <c r="E25" s="21" t="b">
        <v>0</v>
      </c>
      <c r="F25" s="21" t="b">
        <v>0</v>
      </c>
      <c r="G25" s="21" t="b">
        <v>0</v>
      </c>
      <c r="H25" s="21" t="b">
        <v>0</v>
      </c>
      <c r="I25" s="21" t="b">
        <v>0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24</v>
      </c>
      <c r="AI25" s="49">
        <f t="shared" si="3"/>
        <v>24</v>
      </c>
      <c r="AJ25" s="51"/>
    </row>
    <row r="26" spans="2:36"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2:36"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2:36"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2:36"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2:36"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2:36"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2:36"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2:36"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2:36"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2:36"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2:36"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2:36">
      <c r="AJ37" s="52"/>
    </row>
    <row r="38" spans="2:36"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6</v>
      </c>
      <c r="F38" s="42">
        <f t="shared" si="4"/>
        <v>4</v>
      </c>
      <c r="G38" s="42">
        <f t="shared" si="4"/>
        <v>6</v>
      </c>
      <c r="H38" s="42">
        <f t="shared" si="4"/>
        <v>4</v>
      </c>
      <c r="I38" s="42">
        <f t="shared" si="4"/>
        <v>12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</row>
    <row r="39" spans="2:36"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0.46153846153846156</v>
      </c>
      <c r="F39" s="85">
        <f t="shared" si="5"/>
        <v>0.30769230769230771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0.92307692307692313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</row>
    <row r="40" spans="2:36">
      <c r="C40" s="25"/>
      <c r="J40" s="25"/>
      <c r="K40" s="25"/>
      <c r="L40" s="25"/>
      <c r="Q40" s="25"/>
      <c r="X40" s="25"/>
      <c r="AE40" s="25"/>
    </row>
    <row r="41" spans="2:36">
      <c r="B41" s="26" t="s">
        <v>29</v>
      </c>
    </row>
    <row r="42" spans="2:36">
      <c r="B42" s="34" t="str">
        <f>_xlfn.XLOOKUP(MAX(AH24:AH36),AH24:AH36,B24:B36)</f>
        <v>d</v>
      </c>
    </row>
    <row r="44" spans="2:36">
      <c r="B44" s="26" t="s">
        <v>30</v>
      </c>
    </row>
    <row r="45" spans="2:36">
      <c r="B45" s="34" t="str">
        <f>_xlfn.XLOOKUP(MIN(AH24:AH36),AH24:AH36,B24:B36)</f>
        <v>b</v>
      </c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phoneticPr fontId="1" type="noConversion"/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{E6010744-982B-4F5C-B574-22230D9F3AB0}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{9F082963-CBB8-4CCC-9B36-5CCB4F87786F}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{70AFE498-3DD1-4228-B7E9-DAB334CDC3B7}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{C8CA384D-B672-41A6-B435-3D2D0D58E816}</x14:id>
        </ext>
      </extLst>
    </cfRule>
  </conditionalFormatting>
  <dataValidations count="1">
    <dataValidation type="custom" allowBlank="1" showInputMessage="1" showErrorMessage="1" sqref="H7" xr:uid="{8FCD074E-BBA0-4637-B94A-3AC739A7DF53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010744-982B-4F5C-B574-22230D9F3A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9F082963-CBB8-4CCC-9B36-5CCB4F8778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70AFE498-3DD1-4228-B7E9-DAB334CDC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C8CA384D-B672-41A6-B435-3D2D0D58E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C03D52-635D-4918-9955-E091A0298BB6}">
          <x14:formula1>
            <xm:f>Sheet2!$E$8:$E$20</xm:f>
          </x14:formula1>
          <xm:sqref>B4 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D6E6-70ED-4411-935E-369A1DEC5F84}">
  <sheetPr codeName="Sheet3"/>
  <dimension ref="B1:AJ46"/>
  <sheetViews>
    <sheetView topLeftCell="A24" zoomScale="62" workbookViewId="0">
      <selection activeCell="P36" sqref="P36"/>
    </sheetView>
  </sheetViews>
  <sheetFormatPr defaultColWidth="12" defaultRowHeight="14.45"/>
  <cols>
    <col min="1" max="1" width="12" style="2"/>
    <col min="2" max="2" width="16.5703125" style="2" bestFit="1" customWidth="1"/>
    <col min="3" max="11" width="8.5703125" style="2" bestFit="1" customWidth="1"/>
    <col min="12" max="12" width="9.7109375" style="2" bestFit="1" customWidth="1"/>
    <col min="13" max="13" width="12.42578125" style="2" bestFit="1" customWidth="1"/>
    <col min="14" max="30" width="9.7109375" style="2" bestFit="1" customWidth="1"/>
    <col min="31" max="33" width="9" style="2" bestFit="1" customWidth="1"/>
    <col min="34" max="34" width="14.5703125" style="2" bestFit="1" customWidth="1"/>
    <col min="35" max="35" width="9.28515625" style="2" customWidth="1"/>
    <col min="36" max="16384" width="12" style="2"/>
  </cols>
  <sheetData>
    <row r="1" spans="2:35" ht="15"/>
    <row r="2" spans="2:35" ht="15">
      <c r="B2" s="93" t="s">
        <v>31</v>
      </c>
    </row>
    <row r="3" spans="2:35" ht="15">
      <c r="B3" s="93"/>
      <c r="AD3" s="94" t="s">
        <v>2</v>
      </c>
      <c r="AE3" s="95"/>
      <c r="AF3" s="96"/>
      <c r="AG3" s="52"/>
      <c r="AH3" s="57" t="s">
        <v>3</v>
      </c>
      <c r="AI3" s="43">
        <f>COUNTIF(C39:AG39,100%)</f>
        <v>18</v>
      </c>
    </row>
    <row r="4" spans="2:35" ht="15" customHeight="1">
      <c r="B4" s="35">
        <f ca="1">TODAY()</f>
        <v>46037</v>
      </c>
      <c r="AD4" s="97">
        <f>COUNTIF(C24:AG36,"TRUE")</f>
        <v>343</v>
      </c>
      <c r="AE4" s="98"/>
      <c r="AF4" s="99"/>
      <c r="AG4" s="53"/>
      <c r="AH4" s="58" t="s">
        <v>4</v>
      </c>
      <c r="AI4" s="55">
        <f>COUNTIF(C39:AG39,"&gt;50%")</f>
        <v>27</v>
      </c>
    </row>
    <row r="5" spans="2:35" ht="18.75">
      <c r="B5" s="36">
        <v>2026</v>
      </c>
      <c r="C5" s="4"/>
      <c r="D5" s="4"/>
      <c r="E5" s="4"/>
      <c r="W5" s="3"/>
      <c r="AD5" s="100">
        <f>AD4/COUNTA(C24:AG36)</f>
        <v>0.85111662531017374</v>
      </c>
      <c r="AE5" s="101"/>
      <c r="AF5" s="102"/>
      <c r="AG5" s="54"/>
      <c r="AH5" s="59" t="s">
        <v>5</v>
      </c>
      <c r="AI5" s="56">
        <f>COUNTIF(C39:AG39,"0%")</f>
        <v>1</v>
      </c>
    </row>
    <row r="6" spans="2:35" ht="15">
      <c r="B6" s="37"/>
    </row>
    <row r="7" spans="2:35">
      <c r="B7" s="26" t="s">
        <v>6</v>
      </c>
    </row>
    <row r="8" spans="2:35" ht="15">
      <c r="B8" s="32" t="s">
        <v>7</v>
      </c>
    </row>
    <row r="9" spans="2:35" ht="15">
      <c r="B9" s="38">
        <f>SUM(C38:I38)/COUNTA(C24:I36)</f>
        <v>0.48351648351648352</v>
      </c>
    </row>
    <row r="10" spans="2:35" ht="15">
      <c r="B10" s="40" t="s">
        <v>8</v>
      </c>
    </row>
    <row r="11" spans="2:35">
      <c r="B11" s="33">
        <f>SUM(J38:P38)/COUNTA(J24:P36)</f>
        <v>0.89010989010989006</v>
      </c>
    </row>
    <row r="12" spans="2:35">
      <c r="B12" s="39" t="s">
        <v>9</v>
      </c>
    </row>
    <row r="13" spans="2:35">
      <c r="B13" s="33">
        <f>SUM(Q38:W38)/COUNTA(Q24:W36)</f>
        <v>1</v>
      </c>
    </row>
    <row r="14" spans="2:35">
      <c r="B14" s="40" t="s">
        <v>10</v>
      </c>
    </row>
    <row r="15" spans="2:35">
      <c r="B15" s="33">
        <f>SUM(X38:AD38)/COUNTA(X24:AD36)</f>
        <v>0.97802197802197799</v>
      </c>
    </row>
    <row r="16" spans="2:35">
      <c r="B16" s="40" t="s">
        <v>11</v>
      </c>
    </row>
    <row r="17" spans="2:36">
      <c r="B17" s="38">
        <f>SUM(AE38:AG38)/COUNTA(AE24:AG36)</f>
        <v>0.97435897435897434</v>
      </c>
    </row>
    <row r="19" spans="2:36" ht="15"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2:36" ht="27"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J20:X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&amp;INT((DAY(AE21)-1)/7)+5</f>
        <v>Week5</v>
      </c>
      <c r="AF20" s="113"/>
      <c r="AG20" s="114"/>
      <c r="AH20" s="87" t="s">
        <v>13</v>
      </c>
      <c r="AI20" s="88"/>
    </row>
    <row r="21" spans="2:36" ht="15" customHeight="1">
      <c r="B21" s="104"/>
      <c r="C21" s="15">
        <f>Sheet2!C6</f>
        <v>46054</v>
      </c>
      <c r="D21" s="16">
        <f>C21+1</f>
        <v>46055</v>
      </c>
      <c r="E21" s="16">
        <f t="shared" ref="E21:AG21" si="1">D21+1</f>
        <v>46056</v>
      </c>
      <c r="F21" s="16">
        <f t="shared" si="1"/>
        <v>46057</v>
      </c>
      <c r="G21" s="16">
        <f t="shared" si="1"/>
        <v>46058</v>
      </c>
      <c r="H21" s="16">
        <f t="shared" si="1"/>
        <v>46059</v>
      </c>
      <c r="I21" s="18">
        <f t="shared" si="1"/>
        <v>46060</v>
      </c>
      <c r="J21" s="16">
        <f t="shared" si="1"/>
        <v>46061</v>
      </c>
      <c r="K21" s="16">
        <f t="shared" ref="K21:P21" si="2">J21+1</f>
        <v>46062</v>
      </c>
      <c r="L21" s="16">
        <f t="shared" si="2"/>
        <v>46063</v>
      </c>
      <c r="M21" s="17">
        <f t="shared" si="2"/>
        <v>46064</v>
      </c>
      <c r="N21" s="16">
        <f t="shared" si="2"/>
        <v>46065</v>
      </c>
      <c r="O21" s="16">
        <f t="shared" si="2"/>
        <v>46066</v>
      </c>
      <c r="P21" s="18">
        <f t="shared" si="2"/>
        <v>46067</v>
      </c>
      <c r="Q21" s="8">
        <f t="shared" si="1"/>
        <v>46068</v>
      </c>
      <c r="R21" s="8">
        <f t="shared" si="1"/>
        <v>46069</v>
      </c>
      <c r="S21" s="8">
        <f t="shared" si="1"/>
        <v>46070</v>
      </c>
      <c r="T21" s="8">
        <f t="shared" si="1"/>
        <v>46071</v>
      </c>
      <c r="U21" s="8">
        <f t="shared" si="1"/>
        <v>46072</v>
      </c>
      <c r="V21" s="8">
        <f t="shared" si="1"/>
        <v>46073</v>
      </c>
      <c r="W21" s="8">
        <f t="shared" si="1"/>
        <v>46074</v>
      </c>
      <c r="X21" s="15">
        <f>W21+1</f>
        <v>46075</v>
      </c>
      <c r="Y21" s="16">
        <f t="shared" si="1"/>
        <v>46076</v>
      </c>
      <c r="Z21" s="16">
        <f t="shared" si="1"/>
        <v>46077</v>
      </c>
      <c r="AA21" s="16">
        <f t="shared" si="1"/>
        <v>46078</v>
      </c>
      <c r="AB21" s="16">
        <f t="shared" si="1"/>
        <v>46079</v>
      </c>
      <c r="AC21" s="16">
        <f t="shared" si="1"/>
        <v>46080</v>
      </c>
      <c r="AD21" s="16">
        <f t="shared" si="1"/>
        <v>46081</v>
      </c>
      <c r="AE21" s="47">
        <f>AD21+1</f>
        <v>46082</v>
      </c>
      <c r="AF21" s="8">
        <f t="shared" si="1"/>
        <v>46083</v>
      </c>
      <c r="AG21" s="8">
        <f t="shared" si="1"/>
        <v>46084</v>
      </c>
      <c r="AH21" s="89"/>
      <c r="AI21" s="90"/>
    </row>
    <row r="22" spans="2:36" ht="15" customHeight="1">
      <c r="B22" s="104"/>
      <c r="C22" s="10" t="str">
        <f>TEXT(Sheet2!C6,"ddd")</f>
        <v>Sun</v>
      </c>
      <c r="D22" s="9" t="str">
        <f>TEXT(D21,"ddd")</f>
        <v>Mon</v>
      </c>
      <c r="E22" s="9" t="str">
        <f t="shared" ref="E22:AG22" si="3">TEXT(E21,"ddd")</f>
        <v>Tue</v>
      </c>
      <c r="F22" s="9" t="str">
        <f t="shared" si="3"/>
        <v>Wed</v>
      </c>
      <c r="G22" s="9" t="str">
        <f t="shared" si="3"/>
        <v>Thu</v>
      </c>
      <c r="H22" s="9" t="str">
        <f t="shared" si="3"/>
        <v>Fri</v>
      </c>
      <c r="I22" s="11" t="str">
        <f t="shared" si="3"/>
        <v>Sat</v>
      </c>
      <c r="J22" s="9" t="str">
        <f t="shared" si="3"/>
        <v>Sun</v>
      </c>
      <c r="K22" s="9" t="str">
        <f t="shared" ref="K22" si="4">TEXT(K21,"ddd")</f>
        <v>Mon</v>
      </c>
      <c r="L22" s="9" t="str">
        <f t="shared" ref="L22" si="5">TEXT(L21,"ddd")</f>
        <v>Tue</v>
      </c>
      <c r="M22" s="9" t="str">
        <f t="shared" ref="M22" si="6">TEXT(M21,"ddd")</f>
        <v>Wed</v>
      </c>
      <c r="N22" s="9" t="str">
        <f t="shared" ref="N22" si="7">TEXT(N21,"ddd")</f>
        <v>Thu</v>
      </c>
      <c r="O22" s="9" t="str">
        <f t="shared" ref="O22" si="8">TEXT(O21,"ddd")</f>
        <v>Fri</v>
      </c>
      <c r="P22" s="11" t="str">
        <f t="shared" ref="P22" si="9">TEXT(P21,"ddd")</f>
        <v>Sat</v>
      </c>
      <c r="Q22" s="9" t="str">
        <f t="shared" si="3"/>
        <v>Sun</v>
      </c>
      <c r="R22" s="9" t="str">
        <f t="shared" si="3"/>
        <v>Mon</v>
      </c>
      <c r="S22" s="9" t="str">
        <f t="shared" si="3"/>
        <v>Tue</v>
      </c>
      <c r="T22" s="9" t="str">
        <f t="shared" si="3"/>
        <v>Wed</v>
      </c>
      <c r="U22" s="9" t="str">
        <f t="shared" si="3"/>
        <v>Thu</v>
      </c>
      <c r="V22" s="9" t="str">
        <f t="shared" si="3"/>
        <v>Fri</v>
      </c>
      <c r="W22" s="9" t="str">
        <f t="shared" si="3"/>
        <v>Sat</v>
      </c>
      <c r="X22" s="10" t="str">
        <f t="shared" si="3"/>
        <v>Sun</v>
      </c>
      <c r="Y22" s="9" t="str">
        <f t="shared" si="3"/>
        <v>Mon</v>
      </c>
      <c r="Z22" s="9" t="str">
        <f t="shared" si="3"/>
        <v>Tue</v>
      </c>
      <c r="AA22" s="9" t="str">
        <f t="shared" si="3"/>
        <v>Wed</v>
      </c>
      <c r="AB22" s="9" t="str">
        <f t="shared" si="3"/>
        <v>Thu</v>
      </c>
      <c r="AC22" s="9" t="str">
        <f t="shared" si="3"/>
        <v>Fri</v>
      </c>
      <c r="AD22" s="9" t="str">
        <f t="shared" si="3"/>
        <v>Sat</v>
      </c>
      <c r="AE22" s="10" t="str">
        <f t="shared" si="3"/>
        <v>Sun</v>
      </c>
      <c r="AF22" s="9" t="str">
        <f t="shared" si="3"/>
        <v>Mon</v>
      </c>
      <c r="AG22" s="9" t="str">
        <f t="shared" si="3"/>
        <v>Tue</v>
      </c>
      <c r="AH22" s="89"/>
      <c r="AI22" s="90"/>
    </row>
    <row r="23" spans="2:36" ht="15" customHeight="1"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</row>
    <row r="24" spans="2:36" ht="15"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2:36" ht="15"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0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J36" si="10">COUNTIF(C25:AG25,"True")</f>
        <v>26</v>
      </c>
      <c r="AI25" s="49">
        <f t="shared" si="10"/>
        <v>26</v>
      </c>
      <c r="AJ25" s="51"/>
    </row>
    <row r="26" spans="2:36" ht="15"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0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10"/>
        <v>25</v>
      </c>
      <c r="AI26" s="49">
        <f t="shared" si="10"/>
        <v>25</v>
      </c>
      <c r="AJ26" s="51"/>
    </row>
    <row r="27" spans="2:36" ht="15"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0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10"/>
        <v>29</v>
      </c>
      <c r="AI27" s="49">
        <f t="shared" si="10"/>
        <v>29</v>
      </c>
      <c r="AJ27" s="51"/>
    </row>
    <row r="28" spans="2:36" ht="15"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0</v>
      </c>
      <c r="O28" s="21" t="b">
        <v>0</v>
      </c>
      <c r="P28" s="21" t="b">
        <v>0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10"/>
        <v>25</v>
      </c>
      <c r="AI28" s="49">
        <f t="shared" si="10"/>
        <v>25</v>
      </c>
      <c r="AJ28" s="51"/>
    </row>
    <row r="29" spans="2:36" ht="15"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0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10"/>
        <v>26</v>
      </c>
      <c r="AI29" s="49">
        <f t="shared" si="10"/>
        <v>26</v>
      </c>
      <c r="AJ29" s="51"/>
    </row>
    <row r="30" spans="2:36" ht="15"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10"/>
        <v>27</v>
      </c>
      <c r="AI30" s="49">
        <f t="shared" si="10"/>
        <v>27</v>
      </c>
      <c r="AJ30" s="51"/>
    </row>
    <row r="31" spans="2:36" ht="15"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0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10"/>
        <v>26</v>
      </c>
      <c r="AI31" s="49">
        <f t="shared" si="10"/>
        <v>26</v>
      </c>
      <c r="AJ31" s="51"/>
    </row>
    <row r="32" spans="2:36" ht="15"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10"/>
        <v>28</v>
      </c>
      <c r="AI32" s="49">
        <f t="shared" si="10"/>
        <v>28</v>
      </c>
      <c r="AJ32" s="51"/>
    </row>
    <row r="33" spans="2:36" ht="15"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10"/>
        <v>27</v>
      </c>
      <c r="AI33" s="49">
        <f t="shared" si="10"/>
        <v>27</v>
      </c>
      <c r="AJ33" s="51"/>
    </row>
    <row r="34" spans="2:36" ht="15"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10"/>
        <v>27</v>
      </c>
      <c r="AI34" s="49">
        <f t="shared" si="10"/>
        <v>27</v>
      </c>
      <c r="AJ34" s="51"/>
    </row>
    <row r="35" spans="2:36" ht="15"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10"/>
        <v>26</v>
      </c>
      <c r="AI35" s="49">
        <f t="shared" si="10"/>
        <v>26</v>
      </c>
      <c r="AJ35" s="51"/>
    </row>
    <row r="36" spans="2:36" ht="15"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0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10"/>
        <v>24</v>
      </c>
      <c r="AI36" s="50">
        <f t="shared" si="10"/>
        <v>24</v>
      </c>
      <c r="AJ36" s="51"/>
    </row>
    <row r="37" spans="2:36" ht="15">
      <c r="AJ37" s="52"/>
    </row>
    <row r="38" spans="2:36" ht="15">
      <c r="B38" s="41" t="s">
        <v>27</v>
      </c>
      <c r="C38" s="60">
        <f>COUNTIF(C24:C36,"TRUE")</f>
        <v>1</v>
      </c>
      <c r="D38" s="42">
        <f t="shared" ref="D38:AG38" si="11">COUNTIF(D24:D36,"TRUE")</f>
        <v>8</v>
      </c>
      <c r="E38" s="42">
        <f t="shared" si="11"/>
        <v>7</v>
      </c>
      <c r="F38" s="42">
        <f t="shared" si="11"/>
        <v>5</v>
      </c>
      <c r="G38" s="42">
        <f t="shared" si="11"/>
        <v>6</v>
      </c>
      <c r="H38" s="42">
        <f t="shared" si="11"/>
        <v>4</v>
      </c>
      <c r="I38" s="42">
        <f t="shared" si="11"/>
        <v>13</v>
      </c>
      <c r="J38" s="60">
        <f>COUNTIF(J24:J36,"TRUE")</f>
        <v>12</v>
      </c>
      <c r="K38" s="42">
        <f t="shared" si="11"/>
        <v>13</v>
      </c>
      <c r="L38" s="42">
        <f t="shared" si="11"/>
        <v>13</v>
      </c>
      <c r="M38" s="42">
        <f t="shared" si="11"/>
        <v>13</v>
      </c>
      <c r="N38" s="42">
        <f t="shared" si="11"/>
        <v>10</v>
      </c>
      <c r="O38" s="42">
        <f t="shared" si="11"/>
        <v>12</v>
      </c>
      <c r="P38" s="42">
        <f t="shared" si="11"/>
        <v>8</v>
      </c>
      <c r="Q38" s="60">
        <f t="shared" si="11"/>
        <v>13</v>
      </c>
      <c r="R38" s="42">
        <f t="shared" si="11"/>
        <v>13</v>
      </c>
      <c r="S38" s="42">
        <f t="shared" si="11"/>
        <v>13</v>
      </c>
      <c r="T38" s="42">
        <f t="shared" si="11"/>
        <v>13</v>
      </c>
      <c r="U38" s="42">
        <f t="shared" si="11"/>
        <v>13</v>
      </c>
      <c r="V38" s="42">
        <f t="shared" si="11"/>
        <v>13</v>
      </c>
      <c r="W38" s="42">
        <f t="shared" si="11"/>
        <v>13</v>
      </c>
      <c r="X38" s="60">
        <f>COUNTIF(X24:X36,"TRUE")</f>
        <v>13</v>
      </c>
      <c r="Y38" s="42">
        <f t="shared" si="11"/>
        <v>12</v>
      </c>
      <c r="Z38" s="42">
        <f t="shared" si="11"/>
        <v>13</v>
      </c>
      <c r="AA38" s="42">
        <f t="shared" si="11"/>
        <v>12</v>
      </c>
      <c r="AB38" s="42">
        <f t="shared" si="11"/>
        <v>13</v>
      </c>
      <c r="AC38" s="42">
        <f t="shared" si="11"/>
        <v>13</v>
      </c>
      <c r="AD38" s="43">
        <f t="shared" si="11"/>
        <v>13</v>
      </c>
      <c r="AE38" s="42">
        <f t="shared" si="11"/>
        <v>13</v>
      </c>
      <c r="AF38" s="42">
        <f t="shared" si="11"/>
        <v>12</v>
      </c>
      <c r="AG38" s="43">
        <f t="shared" si="11"/>
        <v>13</v>
      </c>
    </row>
    <row r="39" spans="2:36" ht="15">
      <c r="B39" s="12" t="s">
        <v>28</v>
      </c>
      <c r="C39" s="84">
        <f>E41</f>
        <v>0</v>
      </c>
      <c r="D39" s="85">
        <f t="shared" ref="D39:AG39" si="12">D38/COUNTA(D24:D36)</f>
        <v>0.61538461538461542</v>
      </c>
      <c r="E39" s="85">
        <f t="shared" si="12"/>
        <v>0.53846153846153844</v>
      </c>
      <c r="F39" s="85">
        <f t="shared" si="12"/>
        <v>0.38461538461538464</v>
      </c>
      <c r="G39" s="85">
        <f t="shared" si="12"/>
        <v>0.46153846153846156</v>
      </c>
      <c r="H39" s="85">
        <f t="shared" si="12"/>
        <v>0.30769230769230771</v>
      </c>
      <c r="I39" s="85">
        <f t="shared" si="12"/>
        <v>1</v>
      </c>
      <c r="J39" s="84">
        <f t="shared" si="12"/>
        <v>0.92307692307692313</v>
      </c>
      <c r="K39" s="85">
        <f t="shared" si="12"/>
        <v>1</v>
      </c>
      <c r="L39" s="85">
        <f t="shared" si="12"/>
        <v>1</v>
      </c>
      <c r="M39" s="85">
        <f t="shared" si="12"/>
        <v>1</v>
      </c>
      <c r="N39" s="85">
        <f t="shared" si="12"/>
        <v>0.76923076923076927</v>
      </c>
      <c r="O39" s="85">
        <f t="shared" si="12"/>
        <v>0.92307692307692313</v>
      </c>
      <c r="P39" s="85">
        <f t="shared" si="12"/>
        <v>0.61538461538461542</v>
      </c>
      <c r="Q39" s="84">
        <f t="shared" si="12"/>
        <v>1</v>
      </c>
      <c r="R39" s="85">
        <f t="shared" si="12"/>
        <v>1</v>
      </c>
      <c r="S39" s="85">
        <f t="shared" si="12"/>
        <v>1</v>
      </c>
      <c r="T39" s="85">
        <f t="shared" si="12"/>
        <v>1</v>
      </c>
      <c r="U39" s="85">
        <f t="shared" si="12"/>
        <v>1</v>
      </c>
      <c r="V39" s="85">
        <f t="shared" si="12"/>
        <v>1</v>
      </c>
      <c r="W39" s="85">
        <f t="shared" si="12"/>
        <v>1</v>
      </c>
      <c r="X39" s="84">
        <f t="shared" si="12"/>
        <v>1</v>
      </c>
      <c r="Y39" s="85">
        <f t="shared" si="12"/>
        <v>0.92307692307692313</v>
      </c>
      <c r="Z39" s="85">
        <f t="shared" si="12"/>
        <v>1</v>
      </c>
      <c r="AA39" s="85">
        <f t="shared" si="12"/>
        <v>0.92307692307692313</v>
      </c>
      <c r="AB39" s="85">
        <f t="shared" si="12"/>
        <v>1</v>
      </c>
      <c r="AC39" s="85">
        <f t="shared" si="12"/>
        <v>1</v>
      </c>
      <c r="AD39" s="86">
        <f t="shared" si="12"/>
        <v>1</v>
      </c>
      <c r="AE39" s="85">
        <f t="shared" si="12"/>
        <v>1</v>
      </c>
      <c r="AF39" s="85">
        <f t="shared" si="12"/>
        <v>0.92307692307692313</v>
      </c>
      <c r="AG39" s="86">
        <f t="shared" si="12"/>
        <v>1</v>
      </c>
    </row>
    <row r="40" spans="2:36" ht="15">
      <c r="C40" s="25"/>
      <c r="J40" s="25"/>
      <c r="K40" s="25"/>
      <c r="L40" s="25"/>
      <c r="Q40" s="25"/>
      <c r="X40" s="25"/>
      <c r="AE40" s="25"/>
    </row>
    <row r="41" spans="2:36" ht="15">
      <c r="B41" s="26" t="s">
        <v>29</v>
      </c>
    </row>
    <row r="42" spans="2:36" ht="15">
      <c r="B42" s="34" t="str">
        <f>_xlfn.XLOOKUP(MAX(AH24:AH36),AH24:AH36,B24:B36)</f>
        <v>d</v>
      </c>
    </row>
    <row r="43" spans="2:36" ht="15"/>
    <row r="44" spans="2:36" ht="15">
      <c r="B44" s="26" t="s">
        <v>30</v>
      </c>
    </row>
    <row r="45" spans="2:36" ht="15">
      <c r="B45" s="34" t="str">
        <f>_xlfn.XLOOKUP(MIN(AH24:AH36),AH24:AH36,B24:B36)</f>
        <v>m</v>
      </c>
    </row>
    <row r="46" spans="2:36" ht="15"/>
  </sheetData>
  <mergeCells count="11">
    <mergeCell ref="AD5:AF5"/>
    <mergeCell ref="AH20:AI23"/>
    <mergeCell ref="B2:B3"/>
    <mergeCell ref="AD3:AF3"/>
    <mergeCell ref="AD4:AF4"/>
    <mergeCell ref="J20:P20"/>
    <mergeCell ref="Q20:W20"/>
    <mergeCell ref="X20:AD20"/>
    <mergeCell ref="AE20:AG20"/>
    <mergeCell ref="B20:B23"/>
    <mergeCell ref="C20:I20"/>
  </mergeCells>
  <phoneticPr fontId="1" type="noConversion"/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{E525063C-BE86-4656-B335-2EAC6C71CABB}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{FDD3D3AE-2E58-4BB5-95AA-BC19AAA01FEE}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{01C26661-77DC-4E1E-BF92-ACB559A1C942}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{3479983A-B952-414B-A1A5-55BA0B54D605}</x14:id>
        </ext>
      </extLst>
    </cfRule>
  </conditionalFormatting>
  <dataValidations count="1">
    <dataValidation type="custom" allowBlank="1" showInputMessage="1" showErrorMessage="1" sqref="H7" xr:uid="{8E4DE1C2-7E4D-46A5-A0A3-6F4853C8405E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25063C-BE86-4656-B335-2EAC6C71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FDD3D3AE-2E58-4BB5-95AA-BC19AAA01F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01C26661-77DC-4E1E-BF92-ACB559A1C9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3479983A-B952-414B-A1A5-55BA0B54D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DD6FB3-55FC-44EB-BE85-F38CD1DFD4B7}">
          <x14:formula1>
            <xm:f>Sheet2!$E$8:$E$20</xm:f>
          </x14:formula1>
          <xm:sqref>B4 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8ED3-C771-4E9C-A1C2-05DDFCB9C71E}">
  <dimension ref="A1:AJ52"/>
  <sheetViews>
    <sheetView topLeftCell="P12" workbookViewId="0">
      <selection activeCell="AD26" sqref="AD26"/>
    </sheetView>
  </sheetViews>
  <sheetFormatPr defaultRowHeight="15"/>
  <cols>
    <col min="2" max="2" width="16.5703125" bestFit="1" customWidth="1"/>
    <col min="3" max="3" width="8.5703125" bestFit="1" customWidth="1"/>
    <col min="4" max="4" width="9.28515625" bestFit="1" customWidth="1"/>
    <col min="5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3" width="10.28515625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33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18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341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0.84615384615384615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0.8571428571428571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7"/>
      <c r="J20" s="106" t="str">
        <f>"Week" &amp;INT((DAY(J21)-1)/7)+1</f>
        <v>Week2</v>
      </c>
      <c r="K20" s="107"/>
      <c r="L20" s="107"/>
      <c r="M20" s="107"/>
      <c r="N20" s="107"/>
      <c r="O20" s="107"/>
      <c r="P20" s="107"/>
      <c r="Q20" s="106" t="str">
        <f t="shared" ref="Q20:AE20" si="0">"Week" &amp;INT((DAY(Q21)-1)/7)+1</f>
        <v>Week3</v>
      </c>
      <c r="R20" s="107"/>
      <c r="S20" s="107"/>
      <c r="T20" s="107"/>
      <c r="U20" s="107"/>
      <c r="V20" s="107"/>
      <c r="W20" s="107"/>
      <c r="X20" s="106" t="str">
        <f t="shared" si="0"/>
        <v>Week4</v>
      </c>
      <c r="Y20" s="107"/>
      <c r="Z20" s="107"/>
      <c r="AA20" s="107"/>
      <c r="AB20" s="107"/>
      <c r="AC20" s="107"/>
      <c r="AD20" s="107"/>
      <c r="AE20" s="117" t="str">
        <f>"Week" &amp;INT((DAY(AE21)-1)/7)+1</f>
        <v>Week5</v>
      </c>
      <c r="AF20" s="118"/>
      <c r="AG20" s="119"/>
      <c r="AH20" s="87" t="s">
        <v>13</v>
      </c>
      <c r="AI20" s="88"/>
      <c r="AJ20" s="2"/>
    </row>
    <row r="21" spans="1:36">
      <c r="A21" s="2"/>
      <c r="B21" s="104"/>
      <c r="C21" s="47">
        <f>Sheet2!B9</f>
        <v>46082</v>
      </c>
      <c r="D21" s="8">
        <f>C21+1</f>
        <v>46083</v>
      </c>
      <c r="E21" s="8">
        <f t="shared" ref="E21:AG21" si="1">D21+1</f>
        <v>46084</v>
      </c>
      <c r="F21" s="8">
        <f t="shared" si="1"/>
        <v>46085</v>
      </c>
      <c r="G21" s="8">
        <f t="shared" si="1"/>
        <v>46086</v>
      </c>
      <c r="H21" s="8">
        <f t="shared" si="1"/>
        <v>46087</v>
      </c>
      <c r="I21" s="8">
        <f t="shared" si="1"/>
        <v>46088</v>
      </c>
      <c r="J21" s="47">
        <f t="shared" si="1"/>
        <v>46089</v>
      </c>
      <c r="K21" s="8">
        <f t="shared" si="1"/>
        <v>46090</v>
      </c>
      <c r="L21" s="8">
        <f t="shared" si="1"/>
        <v>46091</v>
      </c>
      <c r="M21" s="73">
        <f t="shared" si="1"/>
        <v>46092</v>
      </c>
      <c r="N21" s="8">
        <f t="shared" si="1"/>
        <v>46093</v>
      </c>
      <c r="O21" s="8">
        <f t="shared" si="1"/>
        <v>46094</v>
      </c>
      <c r="P21" s="8">
        <f t="shared" si="1"/>
        <v>46095</v>
      </c>
      <c r="Q21" s="47">
        <f t="shared" si="1"/>
        <v>46096</v>
      </c>
      <c r="R21" s="8">
        <f t="shared" si="1"/>
        <v>46097</v>
      </c>
      <c r="S21" s="8">
        <f t="shared" si="1"/>
        <v>46098</v>
      </c>
      <c r="T21" s="8">
        <f t="shared" si="1"/>
        <v>46099</v>
      </c>
      <c r="U21" s="8">
        <f t="shared" si="1"/>
        <v>46100</v>
      </c>
      <c r="V21" s="8">
        <f t="shared" si="1"/>
        <v>46101</v>
      </c>
      <c r="W21" s="8">
        <f t="shared" si="1"/>
        <v>46102</v>
      </c>
      <c r="X21" s="47">
        <f>W21+1</f>
        <v>46103</v>
      </c>
      <c r="Y21" s="8">
        <f t="shared" si="1"/>
        <v>46104</v>
      </c>
      <c r="Z21" s="8">
        <f t="shared" si="1"/>
        <v>46105</v>
      </c>
      <c r="AA21" s="8">
        <f t="shared" si="1"/>
        <v>46106</v>
      </c>
      <c r="AB21" s="8">
        <f t="shared" si="1"/>
        <v>46107</v>
      </c>
      <c r="AC21" s="8">
        <f t="shared" si="1"/>
        <v>46108</v>
      </c>
      <c r="AD21" s="8">
        <f t="shared" si="1"/>
        <v>46109</v>
      </c>
      <c r="AE21" s="47">
        <f>AD21+1</f>
        <v>46110</v>
      </c>
      <c r="AF21" s="8">
        <f t="shared" si="1"/>
        <v>46111</v>
      </c>
      <c r="AG21" s="74">
        <f t="shared" si="1"/>
        <v>46112</v>
      </c>
      <c r="AH21" s="115"/>
      <c r="AI21" s="90"/>
      <c r="AJ21" s="2"/>
    </row>
    <row r="22" spans="1:36">
      <c r="A22" s="2"/>
      <c r="B22" s="104"/>
      <c r="C22" s="10" t="str">
        <f>TEXT(Sheet2!B9,"ddd")</f>
        <v>Sun</v>
      </c>
      <c r="D22" s="9" t="str">
        <f>TEXT(D21,"ddd")</f>
        <v>Mon</v>
      </c>
      <c r="E22" s="9" t="str">
        <f t="shared" ref="E22:AG22" si="2">TEXT(E21,"ddd")</f>
        <v>Tue</v>
      </c>
      <c r="F22" s="9" t="str">
        <f t="shared" si="2"/>
        <v>Wed</v>
      </c>
      <c r="G22" s="9" t="str">
        <f t="shared" si="2"/>
        <v>Thu</v>
      </c>
      <c r="H22" s="9" t="str">
        <f t="shared" si="2"/>
        <v>Fri</v>
      </c>
      <c r="I22" s="9" t="str">
        <f t="shared" si="2"/>
        <v>Sat</v>
      </c>
      <c r="J22" s="10" t="str">
        <f t="shared" si="2"/>
        <v>Sun</v>
      </c>
      <c r="K22" s="9" t="str">
        <f t="shared" si="2"/>
        <v>Mon</v>
      </c>
      <c r="L22" s="9" t="str">
        <f t="shared" si="2"/>
        <v>Tue</v>
      </c>
      <c r="M22" s="9" t="str">
        <f t="shared" si="2"/>
        <v>Wed</v>
      </c>
      <c r="N22" s="9" t="str">
        <f t="shared" si="2"/>
        <v>Thu</v>
      </c>
      <c r="O22" s="9" t="str">
        <f t="shared" si="2"/>
        <v>Fri</v>
      </c>
      <c r="P22" s="9" t="str">
        <f t="shared" si="2"/>
        <v>Sat</v>
      </c>
      <c r="Q22" s="10" t="str">
        <f t="shared" si="2"/>
        <v>Sun</v>
      </c>
      <c r="R22" s="9" t="str">
        <f t="shared" si="2"/>
        <v>Mon</v>
      </c>
      <c r="S22" s="9" t="str">
        <f t="shared" si="2"/>
        <v>Tue</v>
      </c>
      <c r="T22" s="9" t="str">
        <f t="shared" si="2"/>
        <v>Wed</v>
      </c>
      <c r="U22" s="9" t="str">
        <f t="shared" si="2"/>
        <v>Thu</v>
      </c>
      <c r="V22" s="9" t="str">
        <f t="shared" si="2"/>
        <v>Fri</v>
      </c>
      <c r="W22" s="9" t="str">
        <f t="shared" si="2"/>
        <v>Sat</v>
      </c>
      <c r="X22" s="10" t="str">
        <f t="shared" si="2"/>
        <v>Sun</v>
      </c>
      <c r="Y22" s="9" t="str">
        <f t="shared" si="2"/>
        <v>Mon</v>
      </c>
      <c r="Z22" s="9" t="str">
        <f t="shared" si="2"/>
        <v>Tue</v>
      </c>
      <c r="AA22" s="9" t="str">
        <f t="shared" si="2"/>
        <v>Wed</v>
      </c>
      <c r="AB22" s="9" t="str">
        <f t="shared" si="2"/>
        <v>Thu</v>
      </c>
      <c r="AC22" s="9" t="str">
        <f t="shared" si="2"/>
        <v>Fri</v>
      </c>
      <c r="AD22" s="9" t="str">
        <f t="shared" si="2"/>
        <v>Sat</v>
      </c>
      <c r="AE22" s="10" t="str">
        <f t="shared" si="2"/>
        <v>Sun</v>
      </c>
      <c r="AF22" s="9" t="str">
        <f t="shared" si="2"/>
        <v>Mon</v>
      </c>
      <c r="AG22" s="11" t="str">
        <f t="shared" si="2"/>
        <v>Tue</v>
      </c>
      <c r="AH22" s="115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3">
        <v>7</v>
      </c>
      <c r="J23" s="12">
        <v>8</v>
      </c>
      <c r="K23" s="13">
        <v>9</v>
      </c>
      <c r="L23" s="13">
        <v>10</v>
      </c>
      <c r="M23" s="13">
        <v>11</v>
      </c>
      <c r="N23" s="13">
        <v>12</v>
      </c>
      <c r="O23" s="13">
        <v>13</v>
      </c>
      <c r="P23" s="13">
        <v>14</v>
      </c>
      <c r="Q23" s="12">
        <v>15</v>
      </c>
      <c r="R23" s="13">
        <v>16</v>
      </c>
      <c r="S23" s="13">
        <v>17</v>
      </c>
      <c r="T23" s="13">
        <v>18</v>
      </c>
      <c r="U23" s="13">
        <v>19</v>
      </c>
      <c r="V23" s="13">
        <v>20</v>
      </c>
      <c r="W23" s="13">
        <v>21</v>
      </c>
      <c r="X23" s="12">
        <v>22</v>
      </c>
      <c r="Y23" s="13">
        <v>23</v>
      </c>
      <c r="Z23" s="13">
        <v>24</v>
      </c>
      <c r="AA23" s="13">
        <v>25</v>
      </c>
      <c r="AB23" s="13">
        <v>26</v>
      </c>
      <c r="AC23" s="13">
        <v>27</v>
      </c>
      <c r="AD23" s="13">
        <v>28</v>
      </c>
      <c r="AE23" s="12">
        <v>29</v>
      </c>
      <c r="AF23" s="13">
        <v>30</v>
      </c>
      <c r="AG23" s="14">
        <v>31</v>
      </c>
      <c r="AH23" s="116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19" t="b">
        <v>1</v>
      </c>
      <c r="K24" s="21" t="b">
        <v>1</v>
      </c>
      <c r="L24" s="21" t="b">
        <v>1</v>
      </c>
      <c r="M24" s="21" t="b">
        <v>1</v>
      </c>
      <c r="N24" s="21" t="b">
        <v>1</v>
      </c>
      <c r="O24" s="21" t="b">
        <v>1</v>
      </c>
      <c r="P24" s="21" t="b">
        <v>1</v>
      </c>
      <c r="Q24" s="29" t="b">
        <v>1</v>
      </c>
      <c r="R24" s="21" t="b">
        <v>1</v>
      </c>
      <c r="S24" s="21" t="b">
        <v>1</v>
      </c>
      <c r="T24" s="21" t="b">
        <v>1</v>
      </c>
      <c r="U24" s="21" t="b">
        <v>1</v>
      </c>
      <c r="V24" s="21" t="b">
        <v>1</v>
      </c>
      <c r="W24" s="21" t="b">
        <v>1</v>
      </c>
      <c r="X24" s="29" t="b">
        <v>1</v>
      </c>
      <c r="Y24" s="21" t="b">
        <v>1</v>
      </c>
      <c r="Z24" s="21" t="b">
        <v>1</v>
      </c>
      <c r="AA24" s="21" t="b">
        <v>0</v>
      </c>
      <c r="AB24" s="21" t="b">
        <v>1</v>
      </c>
      <c r="AC24" s="21" t="b">
        <v>1</v>
      </c>
      <c r="AD24" s="21" t="b">
        <v>1</v>
      </c>
      <c r="AE24" s="29" t="b">
        <v>1</v>
      </c>
      <c r="AF24" s="21" t="b">
        <v>1</v>
      </c>
      <c r="AG24" s="21" t="b">
        <v>1</v>
      </c>
      <c r="AH24" s="44">
        <f>COUNTIF(C24:AG24,"True")</f>
        <v>26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0</v>
      </c>
      <c r="AB25" s="21" t="b">
        <v>0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25</v>
      </c>
      <c r="AI25" s="49">
        <f t="shared" si="3"/>
        <v>25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0</v>
      </c>
      <c r="AB26" s="21" t="b">
        <v>0</v>
      </c>
      <c r="AC26" s="21" t="b">
        <v>1</v>
      </c>
      <c r="AD26" s="21" t="b">
        <v>0</v>
      </c>
      <c r="AE26" s="29" t="b">
        <v>1</v>
      </c>
      <c r="AF26" s="21" t="b">
        <v>1</v>
      </c>
      <c r="AG26" s="21" t="b">
        <v>1</v>
      </c>
      <c r="AH26" s="45">
        <f t="shared" si="3"/>
        <v>23</v>
      </c>
      <c r="AI26" s="49">
        <f t="shared" si="3"/>
        <v>23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0</v>
      </c>
      <c r="AB27" s="21" t="b">
        <v>0</v>
      </c>
      <c r="AC27" s="21" t="b">
        <v>0</v>
      </c>
      <c r="AD27" s="21" t="b">
        <v>0</v>
      </c>
      <c r="AE27" s="29" t="b">
        <v>1</v>
      </c>
      <c r="AF27" s="21" t="b">
        <v>1</v>
      </c>
      <c r="AG27" s="21" t="b">
        <v>1</v>
      </c>
      <c r="AH27" s="45">
        <f t="shared" si="3"/>
        <v>26</v>
      </c>
      <c r="AI27" s="49">
        <f t="shared" si="3"/>
        <v>26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0</v>
      </c>
      <c r="AE28" s="29" t="b">
        <v>1</v>
      </c>
      <c r="AF28" s="21" t="b">
        <v>1</v>
      </c>
      <c r="AG28" s="21" t="b">
        <v>1</v>
      </c>
      <c r="AH28" s="45">
        <f t="shared" si="3"/>
        <v>27</v>
      </c>
      <c r="AI28" s="49">
        <f t="shared" si="3"/>
        <v>27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8</v>
      </c>
      <c r="AB38" s="42">
        <f t="shared" si="4"/>
        <v>10</v>
      </c>
      <c r="AC38" s="42">
        <f t="shared" si="4"/>
        <v>12</v>
      </c>
      <c r="AD38" s="43">
        <f t="shared" si="4"/>
        <v>10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0.61538461538461542</v>
      </c>
      <c r="AB39" s="85">
        <f t="shared" si="5"/>
        <v>0.76923076923076927</v>
      </c>
      <c r="AC39" s="85">
        <f t="shared" si="5"/>
        <v>0.92307692307692313</v>
      </c>
      <c r="AD39" s="86">
        <f t="shared" si="5"/>
        <v>0.76923076923076927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i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c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52" spans="19:19">
      <c r="S52">
        <f>Sheet2!B9</f>
        <v>46082</v>
      </c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{45EF2E82-7D7A-403E-8543-497099BCE949}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{3C644B95-9757-4569-A687-448E8BF5F10D}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{883F9C21-A0C7-4D9B-BF7B-5C78F315A05B}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{8C7A20F6-5A6B-4F2E-ABA6-C2D36558E977}</x14:id>
        </ext>
      </extLst>
    </cfRule>
  </conditionalFormatting>
  <dataValidations count="1">
    <dataValidation type="custom" allowBlank="1" showInputMessage="1" showErrorMessage="1" sqref="H7" xr:uid="{C5FF96BB-3BCB-42F5-A278-1C342D6DB02B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EF2E82-7D7A-403E-8543-497099BCE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3C644B95-9757-4569-A687-448E8BF5F10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883F9C21-A0C7-4D9B-BF7B-5C78F315A0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8C7A20F6-5A6B-4F2E-ABA6-C2D36558E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B56CEF-8E98-4A67-A65B-420877424A88}">
          <x14:formula1>
            <xm:f>Sheet2!$E$8:$E$20</xm:f>
          </x14:formula1>
          <xm:sqref>B4 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CCF8-433B-4636-A9AB-917F92C85810}">
  <dimension ref="A1:AJ46"/>
  <sheetViews>
    <sheetView topLeftCell="R19" workbookViewId="0">
      <selection activeCell="AE21" sqref="AE21"/>
    </sheetView>
  </sheetViews>
  <sheetFormatPr defaultRowHeight="15"/>
  <cols>
    <col min="2" max="2" width="16.5703125" bestFit="1" customWidth="1"/>
    <col min="3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3" width="9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21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352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0.87344913151364767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0.97802197802197799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&amp;INT((DAY(AE21)-1)/7)+1</f>
        <v>Week5</v>
      </c>
      <c r="AF20" s="113"/>
      <c r="AG20" s="114"/>
      <c r="AH20" s="87" t="s">
        <v>13</v>
      </c>
      <c r="AI20" s="88"/>
      <c r="AJ20" s="2"/>
    </row>
    <row r="21" spans="1:36">
      <c r="A21" s="2"/>
      <c r="B21" s="104"/>
      <c r="C21" s="15">
        <f>Sheet2!B11</f>
        <v>46113</v>
      </c>
      <c r="D21" s="16">
        <f>C21+1</f>
        <v>46114</v>
      </c>
      <c r="E21" s="16">
        <f t="shared" ref="E21:AG21" si="1">D21+1</f>
        <v>46115</v>
      </c>
      <c r="F21" s="16">
        <f t="shared" si="1"/>
        <v>46116</v>
      </c>
      <c r="G21" s="16">
        <f t="shared" si="1"/>
        <v>46117</v>
      </c>
      <c r="H21" s="16">
        <f t="shared" si="1"/>
        <v>46118</v>
      </c>
      <c r="I21" s="18">
        <f t="shared" si="1"/>
        <v>46119</v>
      </c>
      <c r="J21" s="16">
        <f t="shared" si="1"/>
        <v>46120</v>
      </c>
      <c r="K21" s="16">
        <f t="shared" si="1"/>
        <v>46121</v>
      </c>
      <c r="L21" s="16">
        <f t="shared" si="1"/>
        <v>46122</v>
      </c>
      <c r="M21" s="17">
        <f t="shared" si="1"/>
        <v>46123</v>
      </c>
      <c r="N21" s="16">
        <f t="shared" si="1"/>
        <v>46124</v>
      </c>
      <c r="O21" s="16">
        <f t="shared" si="1"/>
        <v>46125</v>
      </c>
      <c r="P21" s="18">
        <f t="shared" si="1"/>
        <v>46126</v>
      </c>
      <c r="Q21" s="8">
        <f t="shared" si="1"/>
        <v>46127</v>
      </c>
      <c r="R21" s="8">
        <f t="shared" si="1"/>
        <v>46128</v>
      </c>
      <c r="S21" s="8">
        <f t="shared" si="1"/>
        <v>46129</v>
      </c>
      <c r="T21" s="8">
        <f t="shared" si="1"/>
        <v>46130</v>
      </c>
      <c r="U21" s="8">
        <f t="shared" si="1"/>
        <v>46131</v>
      </c>
      <c r="V21" s="8">
        <f t="shared" si="1"/>
        <v>46132</v>
      </c>
      <c r="W21" s="8">
        <f t="shared" si="1"/>
        <v>46133</v>
      </c>
      <c r="X21" s="15">
        <f>W21+1</f>
        <v>46134</v>
      </c>
      <c r="Y21" s="16">
        <f t="shared" si="1"/>
        <v>46135</v>
      </c>
      <c r="Z21" s="16">
        <f t="shared" si="1"/>
        <v>46136</v>
      </c>
      <c r="AA21" s="16">
        <f t="shared" si="1"/>
        <v>46137</v>
      </c>
      <c r="AB21" s="16">
        <f t="shared" si="1"/>
        <v>46138</v>
      </c>
      <c r="AC21" s="16">
        <f t="shared" si="1"/>
        <v>46139</v>
      </c>
      <c r="AD21" s="16">
        <f t="shared" si="1"/>
        <v>46140</v>
      </c>
      <c r="AE21" s="47">
        <f>AD21+1</f>
        <v>46141</v>
      </c>
      <c r="AF21" s="8">
        <f t="shared" si="1"/>
        <v>46142</v>
      </c>
      <c r="AG21" s="8">
        <f t="shared" si="1"/>
        <v>46143</v>
      </c>
      <c r="AH21" s="89"/>
      <c r="AI21" s="90"/>
      <c r="AJ21" s="2"/>
    </row>
    <row r="22" spans="1:36">
      <c r="A22" s="2"/>
      <c r="B22" s="104"/>
      <c r="C22" s="10" t="str">
        <f>TEXT(Sheet2!B11,"ddd")</f>
        <v>Wed</v>
      </c>
      <c r="D22" s="9" t="str">
        <f>TEXT(D21,"ddd")</f>
        <v>Thu</v>
      </c>
      <c r="E22" s="9" t="str">
        <f t="shared" ref="E22:AG22" si="2">TEXT(E21,"ddd")</f>
        <v>Fri</v>
      </c>
      <c r="F22" s="9" t="str">
        <f t="shared" si="2"/>
        <v>Sat</v>
      </c>
      <c r="G22" s="9" t="str">
        <f t="shared" si="2"/>
        <v>Sun</v>
      </c>
      <c r="H22" s="9" t="str">
        <f t="shared" si="2"/>
        <v>Mon</v>
      </c>
      <c r="I22" s="11" t="str">
        <f t="shared" si="2"/>
        <v>Tue</v>
      </c>
      <c r="J22" s="9" t="str">
        <f t="shared" si="2"/>
        <v>Wed</v>
      </c>
      <c r="K22" s="9" t="str">
        <f t="shared" si="2"/>
        <v>Thu</v>
      </c>
      <c r="L22" s="9" t="str">
        <f t="shared" si="2"/>
        <v>Fri</v>
      </c>
      <c r="M22" s="9" t="str">
        <f t="shared" si="2"/>
        <v>Sat</v>
      </c>
      <c r="N22" s="9" t="str">
        <f t="shared" si="2"/>
        <v>Sun</v>
      </c>
      <c r="O22" s="9" t="str">
        <f t="shared" si="2"/>
        <v>Mon</v>
      </c>
      <c r="P22" s="11" t="str">
        <f t="shared" si="2"/>
        <v>Tue</v>
      </c>
      <c r="Q22" s="9" t="str">
        <f t="shared" si="2"/>
        <v>Wed</v>
      </c>
      <c r="R22" s="9" t="str">
        <f t="shared" si="2"/>
        <v>Thu</v>
      </c>
      <c r="S22" s="9" t="str">
        <f t="shared" si="2"/>
        <v>Fri</v>
      </c>
      <c r="T22" s="9" t="str">
        <f t="shared" si="2"/>
        <v>Sat</v>
      </c>
      <c r="U22" s="9" t="str">
        <f t="shared" si="2"/>
        <v>Sun</v>
      </c>
      <c r="V22" s="9" t="str">
        <f t="shared" si="2"/>
        <v>Mon</v>
      </c>
      <c r="W22" s="9" t="str">
        <f t="shared" si="2"/>
        <v>Tue</v>
      </c>
      <c r="X22" s="10" t="str">
        <f t="shared" si="2"/>
        <v>Wed</v>
      </c>
      <c r="Y22" s="9" t="str">
        <f t="shared" si="2"/>
        <v>Thu</v>
      </c>
      <c r="Z22" s="9" t="str">
        <f t="shared" si="2"/>
        <v>Fri</v>
      </c>
      <c r="AA22" s="9" t="str">
        <f t="shared" si="2"/>
        <v>Sat</v>
      </c>
      <c r="AB22" s="9" t="str">
        <f t="shared" si="2"/>
        <v>Sun</v>
      </c>
      <c r="AC22" s="9" t="str">
        <f t="shared" si="2"/>
        <v>Mon</v>
      </c>
      <c r="AD22" s="9" t="str">
        <f t="shared" si="2"/>
        <v>Tue</v>
      </c>
      <c r="AE22" s="10" t="str">
        <f t="shared" si="2"/>
        <v>Wed</v>
      </c>
      <c r="AF22" s="9" t="str">
        <f t="shared" si="2"/>
        <v>Thu</v>
      </c>
      <c r="AG22" s="9" t="str">
        <f t="shared" si="2"/>
        <v>Fri</v>
      </c>
      <c r="AH22" s="89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27</v>
      </c>
      <c r="AI25" s="49">
        <f t="shared" si="3"/>
        <v>27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d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m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{35B4122E-AC12-430A-95EB-CC4AE91528B2}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{3B208F31-4602-4426-977B-4EA229B360C9}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{EC180B75-F8B8-42F9-8EDC-B94CC9F5B952}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{3C5A7B53-64D1-4DF6-ADAD-AC397B300756}</x14:id>
        </ext>
      </extLst>
    </cfRule>
  </conditionalFormatting>
  <dataValidations count="1">
    <dataValidation type="custom" allowBlank="1" showInputMessage="1" showErrorMessage="1" sqref="H7" xr:uid="{CCE15988-0242-45B8-8F84-2BB7312E87B2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4122E-AC12-430A-95EB-CC4AE9152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3B208F31-4602-4426-977B-4EA229B360C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EC180B75-F8B8-42F9-8EDC-B94CC9F5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3C5A7B53-64D1-4DF6-ADAD-AC397B3007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EE00C5-B9EB-43D6-AFF8-19F359CBC784}">
          <x14:formula1>
            <xm:f>Sheet2!$E$8:$E$20</xm:f>
          </x14:formula1>
          <xm:sqref>B2:B4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4AB5-17B6-4B52-AA49-EB2081445DDC}">
  <dimension ref="A1:AJ46"/>
  <sheetViews>
    <sheetView topLeftCell="P15" workbookViewId="0">
      <selection activeCell="AE21" sqref="AE21"/>
    </sheetView>
  </sheetViews>
  <sheetFormatPr defaultRowHeight="15"/>
  <cols>
    <col min="2" max="2" width="16.5703125" bestFit="1" customWidth="1"/>
    <col min="3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3" width="10.28515625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35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21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352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0.87344913151364767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0.97802197802197799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&amp;INT((DAY(AE21)-1)/7)+1</f>
        <v>Week5</v>
      </c>
      <c r="AF20" s="113"/>
      <c r="AG20" s="114"/>
      <c r="AH20" s="87" t="s">
        <v>13</v>
      </c>
      <c r="AI20" s="88"/>
      <c r="AJ20" s="2"/>
    </row>
    <row r="21" spans="1:36">
      <c r="A21" s="2"/>
      <c r="B21" s="104"/>
      <c r="C21" s="15">
        <f>Sheet2!B12</f>
        <v>46143</v>
      </c>
      <c r="D21" s="16">
        <f>C21+1</f>
        <v>46144</v>
      </c>
      <c r="E21" s="16">
        <f t="shared" ref="E21:AG21" si="1">D21+1</f>
        <v>46145</v>
      </c>
      <c r="F21" s="16">
        <f t="shared" si="1"/>
        <v>46146</v>
      </c>
      <c r="G21" s="16">
        <f t="shared" si="1"/>
        <v>46147</v>
      </c>
      <c r="H21" s="16">
        <f t="shared" si="1"/>
        <v>46148</v>
      </c>
      <c r="I21" s="18">
        <f t="shared" si="1"/>
        <v>46149</v>
      </c>
      <c r="J21" s="16">
        <f t="shared" si="1"/>
        <v>46150</v>
      </c>
      <c r="K21" s="16">
        <f t="shared" si="1"/>
        <v>46151</v>
      </c>
      <c r="L21" s="16">
        <f t="shared" si="1"/>
        <v>46152</v>
      </c>
      <c r="M21" s="17">
        <f t="shared" si="1"/>
        <v>46153</v>
      </c>
      <c r="N21" s="16">
        <f t="shared" si="1"/>
        <v>46154</v>
      </c>
      <c r="O21" s="16">
        <f t="shared" si="1"/>
        <v>46155</v>
      </c>
      <c r="P21" s="18">
        <f t="shared" si="1"/>
        <v>46156</v>
      </c>
      <c r="Q21" s="8">
        <f t="shared" si="1"/>
        <v>46157</v>
      </c>
      <c r="R21" s="8">
        <f t="shared" si="1"/>
        <v>46158</v>
      </c>
      <c r="S21" s="8">
        <f t="shared" si="1"/>
        <v>46159</v>
      </c>
      <c r="T21" s="8">
        <f t="shared" si="1"/>
        <v>46160</v>
      </c>
      <c r="U21" s="8">
        <f t="shared" si="1"/>
        <v>46161</v>
      </c>
      <c r="V21" s="8">
        <f t="shared" si="1"/>
        <v>46162</v>
      </c>
      <c r="W21" s="8">
        <f t="shared" si="1"/>
        <v>46163</v>
      </c>
      <c r="X21" s="15">
        <f>W21+1</f>
        <v>46164</v>
      </c>
      <c r="Y21" s="16">
        <f t="shared" si="1"/>
        <v>46165</v>
      </c>
      <c r="Z21" s="16">
        <f t="shared" si="1"/>
        <v>46166</v>
      </c>
      <c r="AA21" s="16">
        <f t="shared" si="1"/>
        <v>46167</v>
      </c>
      <c r="AB21" s="16">
        <f t="shared" si="1"/>
        <v>46168</v>
      </c>
      <c r="AC21" s="16">
        <f t="shared" si="1"/>
        <v>46169</v>
      </c>
      <c r="AD21" s="16">
        <f t="shared" si="1"/>
        <v>46170</v>
      </c>
      <c r="AE21" s="47">
        <f>AD21+1</f>
        <v>46171</v>
      </c>
      <c r="AF21" s="8">
        <f t="shared" si="1"/>
        <v>46172</v>
      </c>
      <c r="AG21" s="8">
        <f t="shared" si="1"/>
        <v>46173</v>
      </c>
      <c r="AH21" s="89"/>
      <c r="AI21" s="90"/>
      <c r="AJ21" s="2"/>
    </row>
    <row r="22" spans="1:36">
      <c r="A22" s="2"/>
      <c r="B22" s="104"/>
      <c r="C22" s="10" t="str">
        <f>TEXT(Sheet2!B12,"ddd")</f>
        <v>Fri</v>
      </c>
      <c r="D22" s="9" t="str">
        <f>TEXT(D21,"ddd")</f>
        <v>Sat</v>
      </c>
      <c r="E22" s="9" t="str">
        <f t="shared" ref="E22:AG22" si="2">TEXT(E21,"ddd")</f>
        <v>Sun</v>
      </c>
      <c r="F22" s="9" t="str">
        <f t="shared" si="2"/>
        <v>Mon</v>
      </c>
      <c r="G22" s="9" t="str">
        <f t="shared" si="2"/>
        <v>Tue</v>
      </c>
      <c r="H22" s="9" t="str">
        <f t="shared" si="2"/>
        <v>Wed</v>
      </c>
      <c r="I22" s="11" t="str">
        <f t="shared" si="2"/>
        <v>Thu</v>
      </c>
      <c r="J22" s="9" t="str">
        <f t="shared" si="2"/>
        <v>Fri</v>
      </c>
      <c r="K22" s="9" t="str">
        <f t="shared" si="2"/>
        <v>Sat</v>
      </c>
      <c r="L22" s="9" t="str">
        <f t="shared" si="2"/>
        <v>Sun</v>
      </c>
      <c r="M22" s="9" t="str">
        <f t="shared" si="2"/>
        <v>Mon</v>
      </c>
      <c r="N22" s="9" t="str">
        <f t="shared" si="2"/>
        <v>Tue</v>
      </c>
      <c r="O22" s="9" t="str">
        <f t="shared" si="2"/>
        <v>Wed</v>
      </c>
      <c r="P22" s="11" t="str">
        <f t="shared" si="2"/>
        <v>Thu</v>
      </c>
      <c r="Q22" s="9" t="str">
        <f t="shared" si="2"/>
        <v>Fri</v>
      </c>
      <c r="R22" s="9" t="str">
        <f t="shared" si="2"/>
        <v>Sat</v>
      </c>
      <c r="S22" s="9" t="str">
        <f t="shared" si="2"/>
        <v>Sun</v>
      </c>
      <c r="T22" s="9" t="str">
        <f t="shared" si="2"/>
        <v>Mon</v>
      </c>
      <c r="U22" s="9" t="str">
        <f t="shared" si="2"/>
        <v>Tue</v>
      </c>
      <c r="V22" s="9" t="str">
        <f t="shared" si="2"/>
        <v>Wed</v>
      </c>
      <c r="W22" s="9" t="str">
        <f t="shared" si="2"/>
        <v>Thu</v>
      </c>
      <c r="X22" s="10" t="str">
        <f t="shared" si="2"/>
        <v>Fri</v>
      </c>
      <c r="Y22" s="9" t="str">
        <f t="shared" si="2"/>
        <v>Sat</v>
      </c>
      <c r="Z22" s="9" t="str">
        <f t="shared" si="2"/>
        <v>Sun</v>
      </c>
      <c r="AA22" s="9" t="str">
        <f t="shared" si="2"/>
        <v>Mon</v>
      </c>
      <c r="AB22" s="9" t="str">
        <f t="shared" si="2"/>
        <v>Tue</v>
      </c>
      <c r="AC22" s="9" t="str">
        <f t="shared" si="2"/>
        <v>Wed</v>
      </c>
      <c r="AD22" s="9" t="str">
        <f t="shared" si="2"/>
        <v>Thu</v>
      </c>
      <c r="AE22" s="10" t="str">
        <f t="shared" si="2"/>
        <v>Fri</v>
      </c>
      <c r="AF22" s="9" t="str">
        <f t="shared" si="2"/>
        <v>Sat</v>
      </c>
      <c r="AG22" s="9" t="str">
        <f t="shared" si="2"/>
        <v>Sun</v>
      </c>
      <c r="AH22" s="89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27</v>
      </c>
      <c r="AI25" s="49">
        <f t="shared" si="3"/>
        <v>27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d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m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{B5ACE703-D5FB-4ADB-958D-F7643FCF7C7C}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{9C24113C-2BF9-45BB-AD6A-50032FD34736}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{1EA08DDD-1406-47E9-AB00-FB8CB2B1306B}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{4F3159A0-E389-4A0A-9478-683CDDAD4A21}</x14:id>
        </ext>
      </extLst>
    </cfRule>
  </conditionalFormatting>
  <dataValidations count="1">
    <dataValidation type="custom" allowBlank="1" showInputMessage="1" showErrorMessage="1" sqref="H7" xr:uid="{4107FDC3-187C-4981-99DF-841C9B2A4A14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ACE703-D5FB-4ADB-958D-F7643FCF7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9C24113C-2BF9-45BB-AD6A-50032FD34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1EA08DDD-1406-47E9-AB00-FB8CB2B130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4F3159A0-E389-4A0A-9478-683CDDAD4A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1F392E-BB22-4CCF-AD20-655864C0A786}">
          <x14:formula1>
            <xm:f>Sheet2!$E$8:$E$20</xm:f>
          </x14:formula1>
          <xm:sqref>B2:B4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1971-964A-4CD8-A10F-86936628DE00}">
  <dimension ref="A1:AJ46"/>
  <sheetViews>
    <sheetView topLeftCell="R14" workbookViewId="0">
      <selection activeCell="AE21" sqref="AE21"/>
    </sheetView>
  </sheetViews>
  <sheetFormatPr defaultRowHeight="15"/>
  <cols>
    <col min="2" max="2" width="16.5703125" bestFit="1" customWidth="1"/>
    <col min="3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3" width="9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21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352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0.87344913151364767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0.97802197802197799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&amp;INT((DAY(AE21)-1)/7)+1</f>
        <v>Week5</v>
      </c>
      <c r="AF20" s="113"/>
      <c r="AG20" s="114"/>
      <c r="AH20" s="87" t="s">
        <v>13</v>
      </c>
      <c r="AI20" s="88"/>
      <c r="AJ20" s="2"/>
    </row>
    <row r="21" spans="1:36">
      <c r="A21" s="2"/>
      <c r="B21" s="104"/>
      <c r="C21" s="15">
        <f>Sheet2!B13</f>
        <v>46174</v>
      </c>
      <c r="D21" s="16">
        <f>C21+1</f>
        <v>46175</v>
      </c>
      <c r="E21" s="16">
        <f t="shared" ref="E21:AG21" si="1">D21+1</f>
        <v>46176</v>
      </c>
      <c r="F21" s="16">
        <f t="shared" si="1"/>
        <v>46177</v>
      </c>
      <c r="G21" s="16">
        <f t="shared" si="1"/>
        <v>46178</v>
      </c>
      <c r="H21" s="16">
        <f t="shared" si="1"/>
        <v>46179</v>
      </c>
      <c r="I21" s="18">
        <f t="shared" si="1"/>
        <v>46180</v>
      </c>
      <c r="J21" s="16">
        <f t="shared" si="1"/>
        <v>46181</v>
      </c>
      <c r="K21" s="16">
        <f t="shared" si="1"/>
        <v>46182</v>
      </c>
      <c r="L21" s="16">
        <f t="shared" si="1"/>
        <v>46183</v>
      </c>
      <c r="M21" s="17">
        <f t="shared" si="1"/>
        <v>46184</v>
      </c>
      <c r="N21" s="16">
        <f t="shared" si="1"/>
        <v>46185</v>
      </c>
      <c r="O21" s="16">
        <f t="shared" si="1"/>
        <v>46186</v>
      </c>
      <c r="P21" s="18">
        <f t="shared" si="1"/>
        <v>46187</v>
      </c>
      <c r="Q21" s="8">
        <f t="shared" si="1"/>
        <v>46188</v>
      </c>
      <c r="R21" s="8">
        <f t="shared" si="1"/>
        <v>46189</v>
      </c>
      <c r="S21" s="8">
        <f t="shared" si="1"/>
        <v>46190</v>
      </c>
      <c r="T21" s="8">
        <f t="shared" si="1"/>
        <v>46191</v>
      </c>
      <c r="U21" s="8">
        <f t="shared" si="1"/>
        <v>46192</v>
      </c>
      <c r="V21" s="8">
        <f t="shared" si="1"/>
        <v>46193</v>
      </c>
      <c r="W21" s="8">
        <f t="shared" si="1"/>
        <v>46194</v>
      </c>
      <c r="X21" s="15">
        <f>W21+1</f>
        <v>46195</v>
      </c>
      <c r="Y21" s="16">
        <f t="shared" si="1"/>
        <v>46196</v>
      </c>
      <c r="Z21" s="16">
        <f t="shared" si="1"/>
        <v>46197</v>
      </c>
      <c r="AA21" s="16">
        <f t="shared" si="1"/>
        <v>46198</v>
      </c>
      <c r="AB21" s="16">
        <f t="shared" si="1"/>
        <v>46199</v>
      </c>
      <c r="AC21" s="16">
        <f t="shared" si="1"/>
        <v>46200</v>
      </c>
      <c r="AD21" s="16">
        <f t="shared" si="1"/>
        <v>46201</v>
      </c>
      <c r="AE21" s="47">
        <f>AD21+1</f>
        <v>46202</v>
      </c>
      <c r="AF21" s="8">
        <f t="shared" si="1"/>
        <v>46203</v>
      </c>
      <c r="AG21" s="8">
        <f t="shared" si="1"/>
        <v>46204</v>
      </c>
      <c r="AH21" s="89"/>
      <c r="AI21" s="90"/>
      <c r="AJ21" s="2"/>
    </row>
    <row r="22" spans="1:36">
      <c r="A22" s="2"/>
      <c r="B22" s="104"/>
      <c r="C22" s="10" t="str">
        <f>TEXT(Sheet2!B13,"ddd")</f>
        <v>Mon</v>
      </c>
      <c r="D22" s="9" t="str">
        <f>TEXT(D21,"ddd")</f>
        <v>Tue</v>
      </c>
      <c r="E22" s="9" t="str">
        <f t="shared" ref="E22:AG22" si="2">TEXT(E21,"ddd")</f>
        <v>Wed</v>
      </c>
      <c r="F22" s="9" t="str">
        <f t="shared" si="2"/>
        <v>Thu</v>
      </c>
      <c r="G22" s="9" t="str">
        <f t="shared" si="2"/>
        <v>Fri</v>
      </c>
      <c r="H22" s="9" t="str">
        <f t="shared" si="2"/>
        <v>Sat</v>
      </c>
      <c r="I22" s="11" t="str">
        <f t="shared" si="2"/>
        <v>Sun</v>
      </c>
      <c r="J22" s="9" t="str">
        <f t="shared" si="2"/>
        <v>Mon</v>
      </c>
      <c r="K22" s="9" t="str">
        <f t="shared" si="2"/>
        <v>Tue</v>
      </c>
      <c r="L22" s="9" t="str">
        <f t="shared" si="2"/>
        <v>Wed</v>
      </c>
      <c r="M22" s="9" t="str">
        <f t="shared" si="2"/>
        <v>Thu</v>
      </c>
      <c r="N22" s="9" t="str">
        <f t="shared" si="2"/>
        <v>Fri</v>
      </c>
      <c r="O22" s="9" t="str">
        <f t="shared" si="2"/>
        <v>Sat</v>
      </c>
      <c r="P22" s="11" t="str">
        <f t="shared" si="2"/>
        <v>Sun</v>
      </c>
      <c r="Q22" s="9" t="str">
        <f t="shared" si="2"/>
        <v>Mon</v>
      </c>
      <c r="R22" s="9" t="str">
        <f t="shared" si="2"/>
        <v>Tue</v>
      </c>
      <c r="S22" s="9" t="str">
        <f t="shared" si="2"/>
        <v>Wed</v>
      </c>
      <c r="T22" s="9" t="str">
        <f t="shared" si="2"/>
        <v>Thu</v>
      </c>
      <c r="U22" s="9" t="str">
        <f t="shared" si="2"/>
        <v>Fri</v>
      </c>
      <c r="V22" s="9" t="str">
        <f t="shared" si="2"/>
        <v>Sat</v>
      </c>
      <c r="W22" s="9" t="str">
        <f t="shared" si="2"/>
        <v>Sun</v>
      </c>
      <c r="X22" s="10" t="str">
        <f t="shared" si="2"/>
        <v>Mon</v>
      </c>
      <c r="Y22" s="9" t="str">
        <f t="shared" si="2"/>
        <v>Tue</v>
      </c>
      <c r="Z22" s="9" t="str">
        <f t="shared" si="2"/>
        <v>Wed</v>
      </c>
      <c r="AA22" s="9" t="str">
        <f t="shared" si="2"/>
        <v>Thu</v>
      </c>
      <c r="AB22" s="9" t="str">
        <f t="shared" si="2"/>
        <v>Fri</v>
      </c>
      <c r="AC22" s="9" t="str">
        <f t="shared" si="2"/>
        <v>Sat</v>
      </c>
      <c r="AD22" s="9" t="str">
        <f t="shared" si="2"/>
        <v>Sun</v>
      </c>
      <c r="AE22" s="10" t="str">
        <f t="shared" si="2"/>
        <v>Mon</v>
      </c>
      <c r="AF22" s="9" t="str">
        <f t="shared" si="2"/>
        <v>Tue</v>
      </c>
      <c r="AG22" s="9" t="str">
        <f t="shared" si="2"/>
        <v>Wed</v>
      </c>
      <c r="AH22" s="89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27</v>
      </c>
      <c r="AI25" s="49">
        <f t="shared" si="3"/>
        <v>27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d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m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{588D46A9-60E0-448D-8EF6-A2DA0B0F9DF5}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{D60EEF94-4759-4B6E-AA62-4DA438979E6B}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{1B302C85-0856-4F1E-82B9-881770C66CA3}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{2003EB35-8314-468B-8E18-FFBAAC2DFDC5}</x14:id>
        </ext>
      </extLst>
    </cfRule>
  </conditionalFormatting>
  <dataValidations count="1">
    <dataValidation type="custom" allowBlank="1" showInputMessage="1" showErrorMessage="1" sqref="H7" xr:uid="{76481414-98A6-4FAB-8CD6-A309F8FB32D7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D46A9-60E0-448D-8EF6-A2DA0B0F9D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D60EEF94-4759-4B6E-AA62-4DA438979E6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1B302C85-0856-4F1E-82B9-881770C66C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2003EB35-8314-468B-8E18-FFBAAC2DF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5106B8-07E9-4210-A8FE-4255C36134F4}">
          <x14:formula1>
            <xm:f>Sheet2!$E$8:$E$20</xm:f>
          </x14:formula1>
          <xm:sqref>B2:B4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9838-9405-4154-BAD1-4575F0F31FAE}">
  <dimension ref="A1:AJ46"/>
  <sheetViews>
    <sheetView topLeftCell="S13" workbookViewId="0">
      <selection activeCell="AE20" sqref="AE20:AG20"/>
    </sheetView>
  </sheetViews>
  <sheetFormatPr defaultRowHeight="15"/>
  <cols>
    <col min="2" max="2" width="16.5703125" bestFit="1" customWidth="1"/>
    <col min="3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3" width="9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21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352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0.87344913151364767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0.97802197802197799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&amp;INT((DAY(AE21)-1)/7)+1</f>
        <v>Week5</v>
      </c>
      <c r="AF20" s="113"/>
      <c r="AG20" s="114"/>
      <c r="AH20" s="87" t="s">
        <v>13</v>
      </c>
      <c r="AI20" s="88"/>
      <c r="AJ20" s="2"/>
    </row>
    <row r="21" spans="1:36">
      <c r="A21" s="2"/>
      <c r="B21" s="104"/>
      <c r="C21" s="15">
        <f>Sheet2!B8</f>
        <v>46204</v>
      </c>
      <c r="D21" s="16">
        <f>C21+1</f>
        <v>46205</v>
      </c>
      <c r="E21" s="16">
        <f t="shared" ref="E21:AG21" si="1">D21+1</f>
        <v>46206</v>
      </c>
      <c r="F21" s="16">
        <f t="shared" si="1"/>
        <v>46207</v>
      </c>
      <c r="G21" s="16">
        <f t="shared" si="1"/>
        <v>46208</v>
      </c>
      <c r="H21" s="16">
        <f t="shared" si="1"/>
        <v>46209</v>
      </c>
      <c r="I21" s="18">
        <f t="shared" si="1"/>
        <v>46210</v>
      </c>
      <c r="J21" s="16">
        <f t="shared" si="1"/>
        <v>46211</v>
      </c>
      <c r="K21" s="16">
        <f t="shared" si="1"/>
        <v>46212</v>
      </c>
      <c r="L21" s="16">
        <f t="shared" si="1"/>
        <v>46213</v>
      </c>
      <c r="M21" s="17">
        <f t="shared" si="1"/>
        <v>46214</v>
      </c>
      <c r="N21" s="16">
        <f t="shared" si="1"/>
        <v>46215</v>
      </c>
      <c r="O21" s="16">
        <f t="shared" si="1"/>
        <v>46216</v>
      </c>
      <c r="P21" s="18">
        <f t="shared" si="1"/>
        <v>46217</v>
      </c>
      <c r="Q21" s="8">
        <f t="shared" si="1"/>
        <v>46218</v>
      </c>
      <c r="R21" s="8">
        <f t="shared" si="1"/>
        <v>46219</v>
      </c>
      <c r="S21" s="8">
        <f t="shared" si="1"/>
        <v>46220</v>
      </c>
      <c r="T21" s="8">
        <f t="shared" si="1"/>
        <v>46221</v>
      </c>
      <c r="U21" s="8">
        <f t="shared" si="1"/>
        <v>46222</v>
      </c>
      <c r="V21" s="8">
        <f t="shared" si="1"/>
        <v>46223</v>
      </c>
      <c r="W21" s="8">
        <f t="shared" si="1"/>
        <v>46224</v>
      </c>
      <c r="X21" s="15">
        <f>W21+1</f>
        <v>46225</v>
      </c>
      <c r="Y21" s="16">
        <f t="shared" si="1"/>
        <v>46226</v>
      </c>
      <c r="Z21" s="16">
        <f t="shared" si="1"/>
        <v>46227</v>
      </c>
      <c r="AA21" s="16">
        <f t="shared" si="1"/>
        <v>46228</v>
      </c>
      <c r="AB21" s="16">
        <f t="shared" si="1"/>
        <v>46229</v>
      </c>
      <c r="AC21" s="16">
        <f t="shared" si="1"/>
        <v>46230</v>
      </c>
      <c r="AD21" s="16">
        <f t="shared" si="1"/>
        <v>46231</v>
      </c>
      <c r="AE21" s="47">
        <f>AD21+1</f>
        <v>46232</v>
      </c>
      <c r="AF21" s="8">
        <f t="shared" si="1"/>
        <v>46233</v>
      </c>
      <c r="AG21" s="8">
        <f t="shared" si="1"/>
        <v>46234</v>
      </c>
      <c r="AH21" s="89"/>
      <c r="AI21" s="90"/>
      <c r="AJ21" s="2"/>
    </row>
    <row r="22" spans="1:36">
      <c r="A22" s="2"/>
      <c r="B22" s="104"/>
      <c r="C22" s="10" t="str">
        <f>TEXT(Sheet2!B8,"ddd")</f>
        <v>Wed</v>
      </c>
      <c r="D22" s="9" t="str">
        <f>TEXT(D21,"ddd")</f>
        <v>Thu</v>
      </c>
      <c r="E22" s="9" t="str">
        <f t="shared" ref="E22:AG22" si="2">TEXT(E21,"ddd")</f>
        <v>Fri</v>
      </c>
      <c r="F22" s="9" t="str">
        <f t="shared" si="2"/>
        <v>Sat</v>
      </c>
      <c r="G22" s="9" t="str">
        <f t="shared" si="2"/>
        <v>Sun</v>
      </c>
      <c r="H22" s="9" t="str">
        <f t="shared" si="2"/>
        <v>Mon</v>
      </c>
      <c r="I22" s="11" t="str">
        <f t="shared" si="2"/>
        <v>Tue</v>
      </c>
      <c r="J22" s="9" t="str">
        <f t="shared" si="2"/>
        <v>Wed</v>
      </c>
      <c r="K22" s="9" t="str">
        <f t="shared" si="2"/>
        <v>Thu</v>
      </c>
      <c r="L22" s="9" t="str">
        <f t="shared" si="2"/>
        <v>Fri</v>
      </c>
      <c r="M22" s="9" t="str">
        <f t="shared" si="2"/>
        <v>Sat</v>
      </c>
      <c r="N22" s="9" t="str">
        <f t="shared" si="2"/>
        <v>Sun</v>
      </c>
      <c r="O22" s="9" t="str">
        <f t="shared" si="2"/>
        <v>Mon</v>
      </c>
      <c r="P22" s="11" t="str">
        <f t="shared" si="2"/>
        <v>Tue</v>
      </c>
      <c r="Q22" s="9" t="str">
        <f t="shared" si="2"/>
        <v>Wed</v>
      </c>
      <c r="R22" s="9" t="str">
        <f t="shared" si="2"/>
        <v>Thu</v>
      </c>
      <c r="S22" s="9" t="str">
        <f t="shared" si="2"/>
        <v>Fri</v>
      </c>
      <c r="T22" s="9" t="str">
        <f t="shared" si="2"/>
        <v>Sat</v>
      </c>
      <c r="U22" s="9" t="str">
        <f t="shared" si="2"/>
        <v>Sun</v>
      </c>
      <c r="V22" s="9" t="str">
        <f t="shared" si="2"/>
        <v>Mon</v>
      </c>
      <c r="W22" s="9" t="str">
        <f t="shared" si="2"/>
        <v>Tue</v>
      </c>
      <c r="X22" s="10" t="str">
        <f t="shared" si="2"/>
        <v>Wed</v>
      </c>
      <c r="Y22" s="9" t="str">
        <f t="shared" si="2"/>
        <v>Thu</v>
      </c>
      <c r="Z22" s="9" t="str">
        <f t="shared" si="2"/>
        <v>Fri</v>
      </c>
      <c r="AA22" s="9" t="str">
        <f t="shared" si="2"/>
        <v>Sat</v>
      </c>
      <c r="AB22" s="9" t="str">
        <f t="shared" si="2"/>
        <v>Sun</v>
      </c>
      <c r="AC22" s="9" t="str">
        <f t="shared" si="2"/>
        <v>Mon</v>
      </c>
      <c r="AD22" s="9" t="str">
        <f t="shared" si="2"/>
        <v>Tue</v>
      </c>
      <c r="AE22" s="10" t="str">
        <f t="shared" si="2"/>
        <v>Wed</v>
      </c>
      <c r="AF22" s="9" t="str">
        <f t="shared" si="2"/>
        <v>Thu</v>
      </c>
      <c r="AG22" s="9" t="str">
        <f t="shared" si="2"/>
        <v>Fri</v>
      </c>
      <c r="AH22" s="89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27</v>
      </c>
      <c r="AI25" s="49">
        <f t="shared" si="3"/>
        <v>27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d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m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{9C9ABA85-2DC4-468A-9C53-0A86AC35EF9E}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{C08681CA-C643-4059-9CDE-836CC157FB00}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{7D433899-185A-4D27-94B2-62A9183E7197}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{1F550122-FCAC-4000-884C-8B89C0F3A2D7}</x14:id>
        </ext>
      </extLst>
    </cfRule>
  </conditionalFormatting>
  <dataValidations count="1">
    <dataValidation type="custom" allowBlank="1" showInputMessage="1" showErrorMessage="1" sqref="H7" xr:uid="{912CC398-BC48-4CFD-B34F-A3B95254D87C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9ABA85-2DC4-468A-9C53-0A86AC35E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C08681CA-C643-4059-9CDE-836CC157FB0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7D433899-185A-4D27-94B2-62A9183E7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1F550122-FCAC-4000-884C-8B89C0F3A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F52B59-A00B-4B05-BF79-93C786418856}">
          <x14:formula1>
            <xm:f>Sheet2!$E$8:$E$20</xm:f>
          </x14:formula1>
          <xm:sqref>B2:B4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AA72-1540-4006-9046-03E9A49C8A84}">
  <dimension ref="A1:AJ46"/>
  <sheetViews>
    <sheetView topLeftCell="R16" workbookViewId="0">
      <selection activeCell="AE21" sqref="AE21"/>
    </sheetView>
  </sheetViews>
  <sheetFormatPr defaultRowHeight="15"/>
  <cols>
    <col min="2" max="2" width="20.28515625" bestFit="1" customWidth="1"/>
    <col min="3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3" width="9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21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352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0.87344913151364767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0.97802197802197799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&amp;INT((DAY(AE21)-1)/7)+1</f>
        <v>Week5</v>
      </c>
      <c r="AF20" s="113"/>
      <c r="AG20" s="114"/>
      <c r="AH20" s="87" t="s">
        <v>13</v>
      </c>
      <c r="AI20" s="88"/>
      <c r="AJ20" s="2"/>
    </row>
    <row r="21" spans="1:36">
      <c r="A21" s="2"/>
      <c r="B21" s="104"/>
      <c r="C21" s="15">
        <f>Sheet2!B7</f>
        <v>46235</v>
      </c>
      <c r="D21" s="16">
        <f>C21+1</f>
        <v>46236</v>
      </c>
      <c r="E21" s="16">
        <f t="shared" ref="E21:AG21" si="1">D21+1</f>
        <v>46237</v>
      </c>
      <c r="F21" s="16">
        <f t="shared" si="1"/>
        <v>46238</v>
      </c>
      <c r="G21" s="16">
        <f t="shared" si="1"/>
        <v>46239</v>
      </c>
      <c r="H21" s="16">
        <f t="shared" si="1"/>
        <v>46240</v>
      </c>
      <c r="I21" s="18">
        <f t="shared" si="1"/>
        <v>46241</v>
      </c>
      <c r="J21" s="16">
        <f t="shared" si="1"/>
        <v>46242</v>
      </c>
      <c r="K21" s="16">
        <f t="shared" si="1"/>
        <v>46243</v>
      </c>
      <c r="L21" s="16">
        <f t="shared" si="1"/>
        <v>46244</v>
      </c>
      <c r="M21" s="17">
        <f t="shared" si="1"/>
        <v>46245</v>
      </c>
      <c r="N21" s="16">
        <f t="shared" si="1"/>
        <v>46246</v>
      </c>
      <c r="O21" s="16">
        <f t="shared" si="1"/>
        <v>46247</v>
      </c>
      <c r="P21" s="18">
        <f t="shared" si="1"/>
        <v>46248</v>
      </c>
      <c r="Q21" s="8">
        <f t="shared" si="1"/>
        <v>46249</v>
      </c>
      <c r="R21" s="8">
        <f t="shared" si="1"/>
        <v>46250</v>
      </c>
      <c r="S21" s="8">
        <f t="shared" si="1"/>
        <v>46251</v>
      </c>
      <c r="T21" s="8">
        <f t="shared" si="1"/>
        <v>46252</v>
      </c>
      <c r="U21" s="8">
        <f t="shared" si="1"/>
        <v>46253</v>
      </c>
      <c r="V21" s="8">
        <f t="shared" si="1"/>
        <v>46254</v>
      </c>
      <c r="W21" s="8">
        <f t="shared" si="1"/>
        <v>46255</v>
      </c>
      <c r="X21" s="15">
        <f>W21+1</f>
        <v>46256</v>
      </c>
      <c r="Y21" s="16">
        <f t="shared" si="1"/>
        <v>46257</v>
      </c>
      <c r="Z21" s="16">
        <f t="shared" si="1"/>
        <v>46258</v>
      </c>
      <c r="AA21" s="16">
        <f t="shared" si="1"/>
        <v>46259</v>
      </c>
      <c r="AB21" s="16">
        <f t="shared" si="1"/>
        <v>46260</v>
      </c>
      <c r="AC21" s="16">
        <f t="shared" si="1"/>
        <v>46261</v>
      </c>
      <c r="AD21" s="16">
        <f t="shared" si="1"/>
        <v>46262</v>
      </c>
      <c r="AE21" s="47">
        <f>AD21+1</f>
        <v>46263</v>
      </c>
      <c r="AF21" s="8">
        <f t="shared" si="1"/>
        <v>46264</v>
      </c>
      <c r="AG21" s="8">
        <f t="shared" si="1"/>
        <v>46265</v>
      </c>
      <c r="AH21" s="89"/>
      <c r="AI21" s="90"/>
      <c r="AJ21" s="2"/>
    </row>
    <row r="22" spans="1:36">
      <c r="A22" s="2"/>
      <c r="B22" s="104"/>
      <c r="C22" s="10" t="str">
        <f>TEXT(Sheet2!B7,"ddd")</f>
        <v>Sat</v>
      </c>
      <c r="D22" s="9" t="str">
        <f>TEXT(D21,"ddd")</f>
        <v>Sun</v>
      </c>
      <c r="E22" s="9" t="str">
        <f t="shared" ref="E22:AG22" si="2">TEXT(E21,"ddd")</f>
        <v>Mon</v>
      </c>
      <c r="F22" s="9" t="str">
        <f t="shared" si="2"/>
        <v>Tue</v>
      </c>
      <c r="G22" s="9" t="str">
        <f t="shared" si="2"/>
        <v>Wed</v>
      </c>
      <c r="H22" s="9" t="str">
        <f t="shared" si="2"/>
        <v>Thu</v>
      </c>
      <c r="I22" s="11" t="str">
        <f t="shared" si="2"/>
        <v>Fri</v>
      </c>
      <c r="J22" s="9" t="str">
        <f t="shared" si="2"/>
        <v>Sat</v>
      </c>
      <c r="K22" s="9" t="str">
        <f t="shared" si="2"/>
        <v>Sun</v>
      </c>
      <c r="L22" s="9" t="str">
        <f t="shared" si="2"/>
        <v>Mon</v>
      </c>
      <c r="M22" s="9" t="str">
        <f t="shared" si="2"/>
        <v>Tue</v>
      </c>
      <c r="N22" s="9" t="str">
        <f t="shared" si="2"/>
        <v>Wed</v>
      </c>
      <c r="O22" s="9" t="str">
        <f t="shared" si="2"/>
        <v>Thu</v>
      </c>
      <c r="P22" s="11" t="str">
        <f t="shared" si="2"/>
        <v>Fri</v>
      </c>
      <c r="Q22" s="9" t="str">
        <f t="shared" si="2"/>
        <v>Sat</v>
      </c>
      <c r="R22" s="9" t="str">
        <f t="shared" si="2"/>
        <v>Sun</v>
      </c>
      <c r="S22" s="9" t="str">
        <f t="shared" si="2"/>
        <v>Mon</v>
      </c>
      <c r="T22" s="9" t="str">
        <f t="shared" si="2"/>
        <v>Tue</v>
      </c>
      <c r="U22" s="9" t="str">
        <f t="shared" si="2"/>
        <v>Wed</v>
      </c>
      <c r="V22" s="9" t="str">
        <f t="shared" si="2"/>
        <v>Thu</v>
      </c>
      <c r="W22" s="9" t="str">
        <f t="shared" si="2"/>
        <v>Fri</v>
      </c>
      <c r="X22" s="10" t="str">
        <f t="shared" si="2"/>
        <v>Sat</v>
      </c>
      <c r="Y22" s="9" t="str">
        <f t="shared" si="2"/>
        <v>Sun</v>
      </c>
      <c r="Z22" s="9" t="str">
        <f t="shared" si="2"/>
        <v>Mon</v>
      </c>
      <c r="AA22" s="9" t="str">
        <f t="shared" si="2"/>
        <v>Tue</v>
      </c>
      <c r="AB22" s="9" t="str">
        <f t="shared" si="2"/>
        <v>Wed</v>
      </c>
      <c r="AC22" s="9" t="str">
        <f t="shared" si="2"/>
        <v>Thu</v>
      </c>
      <c r="AD22" s="9" t="str">
        <f t="shared" si="2"/>
        <v>Fri</v>
      </c>
      <c r="AE22" s="10" t="str">
        <f t="shared" si="2"/>
        <v>Sat</v>
      </c>
      <c r="AF22" s="9" t="str">
        <f t="shared" si="2"/>
        <v>Sun</v>
      </c>
      <c r="AG22" s="9" t="str">
        <f t="shared" si="2"/>
        <v>Mon</v>
      </c>
      <c r="AH22" s="89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27</v>
      </c>
      <c r="AI25" s="49">
        <f t="shared" si="3"/>
        <v>27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d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m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{15A2484C-25D2-44F7-ABA9-DC4D133C73C9}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{17AE9EA4-9481-4D78-86DF-62293BDC44C6}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{C8710FC3-A688-405F-A96C-07FECA83CAA4}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{18901C0B-1F00-4DFB-A8A0-BBAFEB0BF142}</x14:id>
        </ext>
      </extLst>
    </cfRule>
  </conditionalFormatting>
  <dataValidations count="1">
    <dataValidation type="custom" allowBlank="1" showInputMessage="1" showErrorMessage="1" sqref="H7" xr:uid="{4950BE16-F01B-4C27-8A28-4F120D64F6E6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A2484C-25D2-44F7-ABA9-DC4D133C73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17AE9EA4-9481-4D78-86DF-62293BDC44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C8710FC3-A688-405F-A96C-07FECA83CA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18901C0B-1F00-4DFB-A8A0-BBAFEB0BF1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BB26F3-A690-41F4-B102-E3476BAEC183}">
          <x14:formula1>
            <xm:f>Sheet2!$E$8:$E$20</xm:f>
          </x14:formula1>
          <xm:sqref>B2:B4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BA85-995F-402A-A910-A1581E55ED17}">
  <dimension ref="A1:AJ46"/>
  <sheetViews>
    <sheetView topLeftCell="Q12" workbookViewId="0">
      <selection activeCell="AE21" sqref="AE21"/>
    </sheetView>
  </sheetViews>
  <sheetFormatPr defaultRowHeight="15"/>
  <cols>
    <col min="2" max="2" width="20.28515625" bestFit="1" customWidth="1"/>
    <col min="3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3" width="9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39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21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352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0.87344913151364767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0.97802197802197799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&amp;INT((DAY(AE21)-1)/7)+1</f>
        <v>Week5</v>
      </c>
      <c r="AF20" s="113"/>
      <c r="AG20" s="114"/>
      <c r="AH20" s="87" t="s">
        <v>13</v>
      </c>
      <c r="AI20" s="88"/>
      <c r="AJ20" s="2"/>
    </row>
    <row r="21" spans="1:36">
      <c r="A21" s="2"/>
      <c r="B21" s="104"/>
      <c r="C21" s="15">
        <f>Sheet2!B6</f>
        <v>46266</v>
      </c>
      <c r="D21" s="16">
        <f>C21+1</f>
        <v>46267</v>
      </c>
      <c r="E21" s="16">
        <f t="shared" ref="E21:AG21" si="1">D21+1</f>
        <v>46268</v>
      </c>
      <c r="F21" s="16">
        <f t="shared" si="1"/>
        <v>46269</v>
      </c>
      <c r="G21" s="16">
        <f t="shared" si="1"/>
        <v>46270</v>
      </c>
      <c r="H21" s="16">
        <f t="shared" si="1"/>
        <v>46271</v>
      </c>
      <c r="I21" s="18">
        <f t="shared" si="1"/>
        <v>46272</v>
      </c>
      <c r="J21" s="16">
        <f t="shared" si="1"/>
        <v>46273</v>
      </c>
      <c r="K21" s="16">
        <f t="shared" si="1"/>
        <v>46274</v>
      </c>
      <c r="L21" s="16">
        <f t="shared" si="1"/>
        <v>46275</v>
      </c>
      <c r="M21" s="17">
        <f t="shared" si="1"/>
        <v>46276</v>
      </c>
      <c r="N21" s="16">
        <f t="shared" si="1"/>
        <v>46277</v>
      </c>
      <c r="O21" s="16">
        <f t="shared" si="1"/>
        <v>46278</v>
      </c>
      <c r="P21" s="18">
        <f t="shared" si="1"/>
        <v>46279</v>
      </c>
      <c r="Q21" s="8">
        <f t="shared" si="1"/>
        <v>46280</v>
      </c>
      <c r="R21" s="8">
        <f t="shared" si="1"/>
        <v>46281</v>
      </c>
      <c r="S21" s="8">
        <f t="shared" si="1"/>
        <v>46282</v>
      </c>
      <c r="T21" s="8">
        <f t="shared" si="1"/>
        <v>46283</v>
      </c>
      <c r="U21" s="8">
        <f t="shared" si="1"/>
        <v>46284</v>
      </c>
      <c r="V21" s="8">
        <f t="shared" si="1"/>
        <v>46285</v>
      </c>
      <c r="W21" s="8">
        <f t="shared" si="1"/>
        <v>46286</v>
      </c>
      <c r="X21" s="15">
        <f>W21+1</f>
        <v>46287</v>
      </c>
      <c r="Y21" s="16">
        <f t="shared" si="1"/>
        <v>46288</v>
      </c>
      <c r="Z21" s="16">
        <f t="shared" si="1"/>
        <v>46289</v>
      </c>
      <c r="AA21" s="16">
        <f t="shared" si="1"/>
        <v>46290</v>
      </c>
      <c r="AB21" s="16">
        <f t="shared" si="1"/>
        <v>46291</v>
      </c>
      <c r="AC21" s="16">
        <f t="shared" si="1"/>
        <v>46292</v>
      </c>
      <c r="AD21" s="16">
        <f t="shared" si="1"/>
        <v>46293</v>
      </c>
      <c r="AE21" s="47">
        <f>AD21+1</f>
        <v>46294</v>
      </c>
      <c r="AF21" s="8">
        <f t="shared" si="1"/>
        <v>46295</v>
      </c>
      <c r="AG21" s="8">
        <f t="shared" si="1"/>
        <v>46296</v>
      </c>
      <c r="AH21" s="89"/>
      <c r="AI21" s="90"/>
      <c r="AJ21" s="2"/>
    </row>
    <row r="22" spans="1:36">
      <c r="A22" s="2"/>
      <c r="B22" s="104"/>
      <c r="C22" s="10" t="str">
        <f>TEXT(Sheet2!B6,"ddd")</f>
        <v>Tue</v>
      </c>
      <c r="D22" s="9" t="str">
        <f>TEXT(D21,"ddd")</f>
        <v>Wed</v>
      </c>
      <c r="E22" s="9" t="str">
        <f t="shared" ref="E22:AG22" si="2">TEXT(E21,"ddd")</f>
        <v>Thu</v>
      </c>
      <c r="F22" s="9" t="str">
        <f t="shared" si="2"/>
        <v>Fri</v>
      </c>
      <c r="G22" s="9" t="str">
        <f t="shared" si="2"/>
        <v>Sat</v>
      </c>
      <c r="H22" s="9" t="str">
        <f t="shared" si="2"/>
        <v>Sun</v>
      </c>
      <c r="I22" s="11" t="str">
        <f t="shared" si="2"/>
        <v>Mon</v>
      </c>
      <c r="J22" s="9" t="str">
        <f t="shared" si="2"/>
        <v>Tue</v>
      </c>
      <c r="K22" s="9" t="str">
        <f t="shared" si="2"/>
        <v>Wed</v>
      </c>
      <c r="L22" s="9" t="str">
        <f t="shared" si="2"/>
        <v>Thu</v>
      </c>
      <c r="M22" s="9" t="str">
        <f t="shared" si="2"/>
        <v>Fri</v>
      </c>
      <c r="N22" s="9" t="str">
        <f t="shared" si="2"/>
        <v>Sat</v>
      </c>
      <c r="O22" s="9" t="str">
        <f t="shared" si="2"/>
        <v>Sun</v>
      </c>
      <c r="P22" s="11" t="str">
        <f t="shared" si="2"/>
        <v>Mon</v>
      </c>
      <c r="Q22" s="9" t="str">
        <f t="shared" si="2"/>
        <v>Tue</v>
      </c>
      <c r="R22" s="9" t="str">
        <f t="shared" si="2"/>
        <v>Wed</v>
      </c>
      <c r="S22" s="9" t="str">
        <f t="shared" si="2"/>
        <v>Thu</v>
      </c>
      <c r="T22" s="9" t="str">
        <f t="shared" si="2"/>
        <v>Fri</v>
      </c>
      <c r="U22" s="9" t="str">
        <f t="shared" si="2"/>
        <v>Sat</v>
      </c>
      <c r="V22" s="9" t="str">
        <f t="shared" si="2"/>
        <v>Sun</v>
      </c>
      <c r="W22" s="9" t="str">
        <f t="shared" si="2"/>
        <v>Mon</v>
      </c>
      <c r="X22" s="10" t="str">
        <f t="shared" si="2"/>
        <v>Tue</v>
      </c>
      <c r="Y22" s="9" t="str">
        <f t="shared" si="2"/>
        <v>Wed</v>
      </c>
      <c r="Z22" s="9" t="str">
        <f t="shared" si="2"/>
        <v>Thu</v>
      </c>
      <c r="AA22" s="9" t="str">
        <f t="shared" si="2"/>
        <v>Fri</v>
      </c>
      <c r="AB22" s="9" t="str">
        <f t="shared" si="2"/>
        <v>Sat</v>
      </c>
      <c r="AC22" s="9" t="str">
        <f t="shared" si="2"/>
        <v>Sun</v>
      </c>
      <c r="AD22" s="9" t="str">
        <f t="shared" si="2"/>
        <v>Mon</v>
      </c>
      <c r="AE22" s="10" t="str">
        <f t="shared" si="2"/>
        <v>Tue</v>
      </c>
      <c r="AF22" s="9" t="str">
        <f t="shared" si="2"/>
        <v>Wed</v>
      </c>
      <c r="AG22" s="9" t="str">
        <f t="shared" si="2"/>
        <v>Thu</v>
      </c>
      <c r="AH22" s="89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27</v>
      </c>
      <c r="AI25" s="49">
        <f t="shared" si="3"/>
        <v>27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d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m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{216D8256-3BE0-4E07-9E31-3CC62E4EFF4C}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{5C274C11-2169-4ADE-AA89-8EC16870C21F}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{9E302C8D-B40F-405A-9447-794F741B9A2F}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{6A0677D1-CB09-429B-8BE4-9D827C04E813}</x14:id>
        </ext>
      </extLst>
    </cfRule>
  </conditionalFormatting>
  <dataValidations count="1">
    <dataValidation type="custom" allowBlank="1" showInputMessage="1" showErrorMessage="1" sqref="H7" xr:uid="{CDA21396-12F0-4A9F-9D0C-6E367501997B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6D8256-3BE0-4E07-9E31-3CC62E4EFF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5C274C11-2169-4ADE-AA89-8EC16870C2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9E302C8D-B40F-405A-9447-794F741B9A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6A0677D1-CB09-429B-8BE4-9D827C04E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013A1D-F4D9-4DC7-B4C9-6D0800CC4514}">
          <x14:formula1>
            <xm:f>Sheet2!$E$8:$E$20</xm:f>
          </x14:formula1>
          <xm:sqref>B2:B4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C306-625F-413B-A858-DE3A835E84B4}">
  <dimension ref="A1:AJ46"/>
  <sheetViews>
    <sheetView topLeftCell="U1" workbookViewId="0">
      <selection activeCell="AE21" sqref="AE21"/>
    </sheetView>
  </sheetViews>
  <sheetFormatPr defaultRowHeight="15"/>
  <cols>
    <col min="2" max="2" width="20.28515625" bestFit="1" customWidth="1"/>
    <col min="3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3" width="9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21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352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0.87344913151364767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0.97802197802197799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&amp;INT((DAY(AE21)-1)/7)+1</f>
        <v>Week5</v>
      </c>
      <c r="AF20" s="113"/>
      <c r="AG20" s="114"/>
      <c r="AH20" s="87" t="s">
        <v>13</v>
      </c>
      <c r="AI20" s="88"/>
      <c r="AJ20" s="2"/>
    </row>
    <row r="21" spans="1:36">
      <c r="A21" s="2"/>
      <c r="B21" s="104"/>
      <c r="C21" s="15">
        <f>Sheet2!B5</f>
        <v>46296</v>
      </c>
      <c r="D21" s="16">
        <f>C21+1</f>
        <v>46297</v>
      </c>
      <c r="E21" s="16">
        <f t="shared" ref="E21:AG21" si="1">D21+1</f>
        <v>46298</v>
      </c>
      <c r="F21" s="16">
        <f t="shared" si="1"/>
        <v>46299</v>
      </c>
      <c r="G21" s="16">
        <f t="shared" si="1"/>
        <v>46300</v>
      </c>
      <c r="H21" s="16">
        <f t="shared" si="1"/>
        <v>46301</v>
      </c>
      <c r="I21" s="18">
        <f t="shared" si="1"/>
        <v>46302</v>
      </c>
      <c r="J21" s="16">
        <f t="shared" si="1"/>
        <v>46303</v>
      </c>
      <c r="K21" s="16">
        <f t="shared" si="1"/>
        <v>46304</v>
      </c>
      <c r="L21" s="16">
        <f t="shared" si="1"/>
        <v>46305</v>
      </c>
      <c r="M21" s="17">
        <f t="shared" si="1"/>
        <v>46306</v>
      </c>
      <c r="N21" s="16">
        <f t="shared" si="1"/>
        <v>46307</v>
      </c>
      <c r="O21" s="16">
        <f t="shared" si="1"/>
        <v>46308</v>
      </c>
      <c r="P21" s="18">
        <f t="shared" si="1"/>
        <v>46309</v>
      </c>
      <c r="Q21" s="8">
        <f t="shared" si="1"/>
        <v>46310</v>
      </c>
      <c r="R21" s="8">
        <f t="shared" si="1"/>
        <v>46311</v>
      </c>
      <c r="S21" s="8">
        <f t="shared" si="1"/>
        <v>46312</v>
      </c>
      <c r="T21" s="8">
        <f t="shared" si="1"/>
        <v>46313</v>
      </c>
      <c r="U21" s="8">
        <f t="shared" si="1"/>
        <v>46314</v>
      </c>
      <c r="V21" s="8">
        <f t="shared" si="1"/>
        <v>46315</v>
      </c>
      <c r="W21" s="8">
        <f t="shared" si="1"/>
        <v>46316</v>
      </c>
      <c r="X21" s="15">
        <f>W21+1</f>
        <v>46317</v>
      </c>
      <c r="Y21" s="16">
        <f t="shared" si="1"/>
        <v>46318</v>
      </c>
      <c r="Z21" s="16">
        <f t="shared" si="1"/>
        <v>46319</v>
      </c>
      <c r="AA21" s="16">
        <f t="shared" si="1"/>
        <v>46320</v>
      </c>
      <c r="AB21" s="16">
        <f t="shared" si="1"/>
        <v>46321</v>
      </c>
      <c r="AC21" s="16">
        <f t="shared" si="1"/>
        <v>46322</v>
      </c>
      <c r="AD21" s="16">
        <f t="shared" si="1"/>
        <v>46323</v>
      </c>
      <c r="AE21" s="47">
        <f>AD21+1</f>
        <v>46324</v>
      </c>
      <c r="AF21" s="8">
        <f t="shared" si="1"/>
        <v>46325</v>
      </c>
      <c r="AG21" s="8">
        <f t="shared" si="1"/>
        <v>46326</v>
      </c>
      <c r="AH21" s="89"/>
      <c r="AI21" s="90"/>
      <c r="AJ21" s="2"/>
    </row>
    <row r="22" spans="1:36">
      <c r="A22" s="2"/>
      <c r="B22" s="104"/>
      <c r="C22" s="10" t="str">
        <f>TEXT(Sheet2!B5,"ddd")</f>
        <v>Thu</v>
      </c>
      <c r="D22" s="9" t="str">
        <f>TEXT(D21,"ddd")</f>
        <v>Fri</v>
      </c>
      <c r="E22" s="9" t="str">
        <f t="shared" ref="E22:AG22" si="2">TEXT(E21,"ddd")</f>
        <v>Sat</v>
      </c>
      <c r="F22" s="9" t="str">
        <f t="shared" si="2"/>
        <v>Sun</v>
      </c>
      <c r="G22" s="9" t="str">
        <f t="shared" si="2"/>
        <v>Mon</v>
      </c>
      <c r="H22" s="9" t="str">
        <f t="shared" si="2"/>
        <v>Tue</v>
      </c>
      <c r="I22" s="11" t="str">
        <f t="shared" si="2"/>
        <v>Wed</v>
      </c>
      <c r="J22" s="9" t="str">
        <f t="shared" si="2"/>
        <v>Thu</v>
      </c>
      <c r="K22" s="9" t="str">
        <f t="shared" si="2"/>
        <v>Fri</v>
      </c>
      <c r="L22" s="9" t="str">
        <f t="shared" si="2"/>
        <v>Sat</v>
      </c>
      <c r="M22" s="9" t="str">
        <f t="shared" si="2"/>
        <v>Sun</v>
      </c>
      <c r="N22" s="9" t="str">
        <f t="shared" si="2"/>
        <v>Mon</v>
      </c>
      <c r="O22" s="9" t="str">
        <f t="shared" si="2"/>
        <v>Tue</v>
      </c>
      <c r="P22" s="11" t="str">
        <f t="shared" si="2"/>
        <v>Wed</v>
      </c>
      <c r="Q22" s="9" t="str">
        <f t="shared" si="2"/>
        <v>Thu</v>
      </c>
      <c r="R22" s="9" t="str">
        <f t="shared" si="2"/>
        <v>Fri</v>
      </c>
      <c r="S22" s="9" t="str">
        <f t="shared" si="2"/>
        <v>Sat</v>
      </c>
      <c r="T22" s="9" t="str">
        <f t="shared" si="2"/>
        <v>Sun</v>
      </c>
      <c r="U22" s="9" t="str">
        <f t="shared" si="2"/>
        <v>Mon</v>
      </c>
      <c r="V22" s="9" t="str">
        <f t="shared" si="2"/>
        <v>Tue</v>
      </c>
      <c r="W22" s="9" t="str">
        <f t="shared" si="2"/>
        <v>Wed</v>
      </c>
      <c r="X22" s="10" t="str">
        <f t="shared" si="2"/>
        <v>Thu</v>
      </c>
      <c r="Y22" s="9" t="str">
        <f t="shared" si="2"/>
        <v>Fri</v>
      </c>
      <c r="Z22" s="9" t="str">
        <f t="shared" si="2"/>
        <v>Sat</v>
      </c>
      <c r="AA22" s="9" t="str">
        <f t="shared" si="2"/>
        <v>Sun</v>
      </c>
      <c r="AB22" s="9" t="str">
        <f t="shared" si="2"/>
        <v>Mon</v>
      </c>
      <c r="AC22" s="9" t="str">
        <f t="shared" si="2"/>
        <v>Tue</v>
      </c>
      <c r="AD22" s="9" t="str">
        <f t="shared" si="2"/>
        <v>Wed</v>
      </c>
      <c r="AE22" s="10" t="str">
        <f t="shared" si="2"/>
        <v>Thu</v>
      </c>
      <c r="AF22" s="9" t="str">
        <f t="shared" si="2"/>
        <v>Fri</v>
      </c>
      <c r="AG22" s="9" t="str">
        <f t="shared" si="2"/>
        <v>Sat</v>
      </c>
      <c r="AH22" s="89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27</v>
      </c>
      <c r="AI25" s="49">
        <f t="shared" si="3"/>
        <v>27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d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m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{9FFD7C11-B8D3-49EC-BCB2-4AE0049E36D8}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{FBB05FCE-3736-4B7B-AD30-14F0157469DB}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{457A4077-F83B-4716-A569-82330E384B51}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{4374B92C-288F-4004-88A9-8812C9BBEDF8}</x14:id>
        </ext>
      </extLst>
    </cfRule>
  </conditionalFormatting>
  <dataValidations count="1">
    <dataValidation type="custom" allowBlank="1" showInputMessage="1" showErrorMessage="1" sqref="H7" xr:uid="{217C66E8-2A06-4BC0-BD9B-84BC105E4C2A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FD7C11-B8D3-49EC-BCB2-4AE0049E3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FBB05FCE-3736-4B7B-AD30-14F0157469D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457A4077-F83B-4716-A569-82330E384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4374B92C-288F-4004-88A9-8812C9BBED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5B9CE4-2638-48AB-B764-7B3B241B2EB8}">
          <x14:formula1>
            <xm:f>Sheet2!$E$8:$E$20</xm:f>
          </x14:formula1>
          <xm:sqref>B2:B4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9663-5651-47F8-B988-98F47923C200}">
  <dimension ref="A1:AJ46"/>
  <sheetViews>
    <sheetView topLeftCell="B7" workbookViewId="0">
      <selection activeCell="AE21" sqref="AE21"/>
    </sheetView>
  </sheetViews>
  <sheetFormatPr defaultRowHeight="15"/>
  <cols>
    <col min="2" max="2" width="20.28515625" bestFit="1" customWidth="1"/>
    <col min="3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2" width="10" bestFit="1" customWidth="1"/>
    <col min="33" max="33" width="9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21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352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0.87344913151364767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0.97802197802197799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&amp;INT((DAY(AE21)-1)/7)+1</f>
        <v>Week5</v>
      </c>
      <c r="AF20" s="113"/>
      <c r="AG20" s="114"/>
      <c r="AH20" s="87" t="s">
        <v>13</v>
      </c>
      <c r="AI20" s="88"/>
      <c r="AJ20" s="2"/>
    </row>
    <row r="21" spans="1:36">
      <c r="A21" s="2"/>
      <c r="B21" s="104"/>
      <c r="C21" s="15">
        <f>Sheet2!B4</f>
        <v>46327</v>
      </c>
      <c r="D21" s="16">
        <f>C21+1</f>
        <v>46328</v>
      </c>
      <c r="E21" s="16">
        <f t="shared" ref="E21:AG21" si="1">D21+1</f>
        <v>46329</v>
      </c>
      <c r="F21" s="16">
        <f t="shared" si="1"/>
        <v>46330</v>
      </c>
      <c r="G21" s="16">
        <f t="shared" si="1"/>
        <v>46331</v>
      </c>
      <c r="H21" s="16">
        <f t="shared" si="1"/>
        <v>46332</v>
      </c>
      <c r="I21" s="18">
        <f t="shared" si="1"/>
        <v>46333</v>
      </c>
      <c r="J21" s="16">
        <f t="shared" si="1"/>
        <v>46334</v>
      </c>
      <c r="K21" s="16">
        <f t="shared" si="1"/>
        <v>46335</v>
      </c>
      <c r="L21" s="16">
        <f t="shared" si="1"/>
        <v>46336</v>
      </c>
      <c r="M21" s="17">
        <f t="shared" si="1"/>
        <v>46337</v>
      </c>
      <c r="N21" s="16">
        <f t="shared" si="1"/>
        <v>46338</v>
      </c>
      <c r="O21" s="16">
        <f t="shared" si="1"/>
        <v>46339</v>
      </c>
      <c r="P21" s="18">
        <f t="shared" si="1"/>
        <v>46340</v>
      </c>
      <c r="Q21" s="8">
        <f t="shared" si="1"/>
        <v>46341</v>
      </c>
      <c r="R21" s="8">
        <f t="shared" si="1"/>
        <v>46342</v>
      </c>
      <c r="S21" s="8">
        <f t="shared" si="1"/>
        <v>46343</v>
      </c>
      <c r="T21" s="8">
        <f t="shared" si="1"/>
        <v>46344</v>
      </c>
      <c r="U21" s="8">
        <f t="shared" si="1"/>
        <v>46345</v>
      </c>
      <c r="V21" s="8">
        <f t="shared" si="1"/>
        <v>46346</v>
      </c>
      <c r="W21" s="8">
        <f t="shared" si="1"/>
        <v>46347</v>
      </c>
      <c r="X21" s="15">
        <f>W21+1</f>
        <v>46348</v>
      </c>
      <c r="Y21" s="16">
        <f t="shared" si="1"/>
        <v>46349</v>
      </c>
      <c r="Z21" s="16">
        <f t="shared" si="1"/>
        <v>46350</v>
      </c>
      <c r="AA21" s="16">
        <f t="shared" si="1"/>
        <v>46351</v>
      </c>
      <c r="AB21" s="16">
        <f t="shared" si="1"/>
        <v>46352</v>
      </c>
      <c r="AC21" s="16">
        <f t="shared" si="1"/>
        <v>46353</v>
      </c>
      <c r="AD21" s="16">
        <f t="shared" si="1"/>
        <v>46354</v>
      </c>
      <c r="AE21" s="47">
        <f>AD21+1</f>
        <v>46355</v>
      </c>
      <c r="AF21" s="8">
        <f t="shared" si="1"/>
        <v>46356</v>
      </c>
      <c r="AG21" s="8">
        <f t="shared" si="1"/>
        <v>46357</v>
      </c>
      <c r="AH21" s="89"/>
      <c r="AI21" s="90"/>
      <c r="AJ21" s="2"/>
    </row>
    <row r="22" spans="1:36">
      <c r="A22" s="2"/>
      <c r="B22" s="104"/>
      <c r="C22" s="10" t="str">
        <f>TEXT(Sheet2!B4,"ddd")</f>
        <v>Sun</v>
      </c>
      <c r="D22" s="9" t="str">
        <f>TEXT(D21,"ddd")</f>
        <v>Mon</v>
      </c>
      <c r="E22" s="9" t="str">
        <f t="shared" ref="E22:AG22" si="2">TEXT(E21,"ddd")</f>
        <v>Tue</v>
      </c>
      <c r="F22" s="9" t="str">
        <f t="shared" si="2"/>
        <v>Wed</v>
      </c>
      <c r="G22" s="9" t="str">
        <f t="shared" si="2"/>
        <v>Thu</v>
      </c>
      <c r="H22" s="9" t="str">
        <f t="shared" si="2"/>
        <v>Fri</v>
      </c>
      <c r="I22" s="11" t="str">
        <f t="shared" si="2"/>
        <v>Sat</v>
      </c>
      <c r="J22" s="9" t="str">
        <f t="shared" si="2"/>
        <v>Sun</v>
      </c>
      <c r="K22" s="9" t="str">
        <f t="shared" si="2"/>
        <v>Mon</v>
      </c>
      <c r="L22" s="9" t="str">
        <f t="shared" si="2"/>
        <v>Tue</v>
      </c>
      <c r="M22" s="9" t="str">
        <f t="shared" si="2"/>
        <v>Wed</v>
      </c>
      <c r="N22" s="9" t="str">
        <f t="shared" si="2"/>
        <v>Thu</v>
      </c>
      <c r="O22" s="9" t="str">
        <f t="shared" si="2"/>
        <v>Fri</v>
      </c>
      <c r="P22" s="11" t="str">
        <f t="shared" si="2"/>
        <v>Sat</v>
      </c>
      <c r="Q22" s="9" t="str">
        <f t="shared" si="2"/>
        <v>Sun</v>
      </c>
      <c r="R22" s="9" t="str">
        <f t="shared" si="2"/>
        <v>Mon</v>
      </c>
      <c r="S22" s="9" t="str">
        <f t="shared" si="2"/>
        <v>Tue</v>
      </c>
      <c r="T22" s="9" t="str">
        <f t="shared" si="2"/>
        <v>Wed</v>
      </c>
      <c r="U22" s="9" t="str">
        <f t="shared" si="2"/>
        <v>Thu</v>
      </c>
      <c r="V22" s="9" t="str">
        <f t="shared" si="2"/>
        <v>Fri</v>
      </c>
      <c r="W22" s="9" t="str">
        <f t="shared" si="2"/>
        <v>Sat</v>
      </c>
      <c r="X22" s="10" t="str">
        <f t="shared" si="2"/>
        <v>Sun</v>
      </c>
      <c r="Y22" s="9" t="str">
        <f t="shared" si="2"/>
        <v>Mon</v>
      </c>
      <c r="Z22" s="9" t="str">
        <f t="shared" si="2"/>
        <v>Tue</v>
      </c>
      <c r="AA22" s="9" t="str">
        <f t="shared" si="2"/>
        <v>Wed</v>
      </c>
      <c r="AB22" s="9" t="str">
        <f t="shared" si="2"/>
        <v>Thu</v>
      </c>
      <c r="AC22" s="9" t="str">
        <f t="shared" si="2"/>
        <v>Fri</v>
      </c>
      <c r="AD22" s="9" t="str">
        <f t="shared" si="2"/>
        <v>Sat</v>
      </c>
      <c r="AE22" s="10" t="str">
        <f t="shared" si="2"/>
        <v>Sun</v>
      </c>
      <c r="AF22" s="9" t="str">
        <f t="shared" si="2"/>
        <v>Mon</v>
      </c>
      <c r="AG22" s="9" t="str">
        <f t="shared" si="2"/>
        <v>Tue</v>
      </c>
      <c r="AH22" s="89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27</v>
      </c>
      <c r="AI25" s="49">
        <f t="shared" si="3"/>
        <v>27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d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m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{3F1984B7-A122-4688-B1E6-0DBDC5F17CF6}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{CF72D211-EC85-4C3B-A963-54750E1A27CE}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{0E9BF071-F069-48E7-BE97-79DFC81950C9}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{2376BB74-C7B8-4EE5-A125-45A2D718EAD8}</x14:id>
        </ext>
      </extLst>
    </cfRule>
  </conditionalFormatting>
  <dataValidations count="1">
    <dataValidation type="custom" allowBlank="1" showInputMessage="1" showErrorMessage="1" sqref="H7" xr:uid="{74FCF8F9-62A8-46E8-BC1C-A6EFF4329BD0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1984B7-A122-4688-B1E6-0DBDC5F17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CF72D211-EC85-4C3B-A963-54750E1A27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0E9BF071-F069-48E7-BE97-79DFC81950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2376BB74-C7B8-4EE5-A125-45A2D718EA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D168E3-2914-4368-AA5C-B0758239EF8B}">
          <x14:formula1>
            <xm:f>Sheet2!$E$8:$E$20</xm:f>
          </x14:formula1>
          <xm:sqref>B2:B4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603B-9E1B-4D73-9839-406FC1299AC7}">
  <dimension ref="A1:AJ46"/>
  <sheetViews>
    <sheetView topLeftCell="P22" workbookViewId="0">
      <selection activeCell="AE21" sqref="AE21"/>
    </sheetView>
  </sheetViews>
  <sheetFormatPr defaultRowHeight="15"/>
  <cols>
    <col min="2" max="2" width="20.28515625" bestFit="1" customWidth="1"/>
    <col min="3" max="11" width="8.5703125" bestFit="1" customWidth="1"/>
    <col min="12" max="12" width="9.7109375" bestFit="1" customWidth="1"/>
    <col min="13" max="13" width="12.42578125" bestFit="1" customWidth="1"/>
    <col min="14" max="30" width="9.7109375" bestFit="1" customWidth="1"/>
    <col min="31" max="33" width="9" bestFit="1" customWidth="1"/>
    <col min="34" max="34" width="14.5703125" bestFit="1" customWidth="1"/>
    <col min="35" max="35" width="10.42578125" customWidth="1"/>
  </cols>
  <sheetData>
    <row r="1" spans="1:3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93" t="s">
        <v>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2"/>
      <c r="B3" s="9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4" t="s">
        <v>2</v>
      </c>
      <c r="AE3" s="95"/>
      <c r="AF3" s="96"/>
      <c r="AG3" s="52"/>
      <c r="AH3" s="57" t="s">
        <v>3</v>
      </c>
      <c r="AI3" s="43">
        <f>COUNTIF(C39:AG39,100%)</f>
        <v>21</v>
      </c>
      <c r="AJ3" s="2"/>
    </row>
    <row r="4" spans="1:36" ht="18.75">
      <c r="A4" s="2"/>
      <c r="B4" s="35">
        <f ca="1">TODAY()</f>
        <v>46037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97">
        <f>COUNTIF(C24:AG36,"TRUE")</f>
        <v>352</v>
      </c>
      <c r="AE4" s="98"/>
      <c r="AF4" s="99"/>
      <c r="AG4" s="53"/>
      <c r="AH4" s="58" t="s">
        <v>4</v>
      </c>
      <c r="AI4" s="55">
        <f>COUNTIF(C39:AG39,"&gt;50%")</f>
        <v>27</v>
      </c>
      <c r="AJ4" s="2"/>
    </row>
    <row r="5" spans="1:36" ht="18.75">
      <c r="A5" s="2"/>
      <c r="B5" s="36">
        <v>2026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100">
        <f>AD4/COUNTA(C24:AG36)</f>
        <v>0.87344913151364767</v>
      </c>
      <c r="AE5" s="101"/>
      <c r="AF5" s="102"/>
      <c r="AG5" s="54"/>
      <c r="AH5" s="59" t="s">
        <v>5</v>
      </c>
      <c r="AI5" s="56">
        <f>COUNTIF(C39:AG39,"0%")</f>
        <v>1</v>
      </c>
      <c r="AJ5" s="2"/>
    </row>
    <row r="6" spans="1:36">
      <c r="A6" s="2"/>
      <c r="B6" s="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>
      <c r="A7" s="2"/>
      <c r="B7" s="2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>
      <c r="A8" s="2"/>
      <c r="B8" s="3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>
      <c r="A9" s="2"/>
      <c r="B9" s="38">
        <f>SUM(C38:I38)/COUNTA(C24:I36)</f>
        <v>0.48351648351648352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2"/>
      <c r="B10" s="40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>
      <c r="A11" s="2"/>
      <c r="B11" s="33">
        <f>SUM(J38:P38)/COUNTA(J24:P36)</f>
        <v>0.98901098901098905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>
      <c r="A12" s="2"/>
      <c r="B12" s="39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2"/>
      <c r="B13" s="33">
        <f>SUM(Q38:W38)/COUNTA(Q24:W36)</f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/>
      <c r="B14" s="4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>
      <c r="A15" s="2"/>
      <c r="B15" s="33">
        <f>SUM(X38:AD38)/COUNTA(X24:AD36)</f>
        <v>0.97802197802197799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>
      <c r="A16" s="2"/>
      <c r="B16" s="40" t="s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>
      <c r="A17" s="2"/>
      <c r="B17" s="38">
        <f>SUM(AE38:AG38)/COUNTA(AE24:AG36)</f>
        <v>0.97435897435897434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</row>
    <row r="20" spans="1:36" ht="27">
      <c r="A20" s="2"/>
      <c r="B20" s="103" t="s">
        <v>12</v>
      </c>
      <c r="C20" s="106" t="str">
        <f>"Week" &amp;INT((DAY(C21)-1)/7)+1</f>
        <v>Week1</v>
      </c>
      <c r="D20" s="107"/>
      <c r="E20" s="107"/>
      <c r="F20" s="107"/>
      <c r="G20" s="107"/>
      <c r="H20" s="107"/>
      <c r="I20" s="108"/>
      <c r="J20" s="107" t="str">
        <f>"Week" &amp;INT((DAY(J21)-1)/7)+1</f>
        <v>Week2</v>
      </c>
      <c r="K20" s="107"/>
      <c r="L20" s="107"/>
      <c r="M20" s="107"/>
      <c r="N20" s="107"/>
      <c r="O20" s="107"/>
      <c r="P20" s="107"/>
      <c r="Q20" s="109" t="str">
        <f t="shared" ref="Q20:AE20" si="0">"Week" &amp;INT((DAY(Q21)-1)/7)+1</f>
        <v>Week3</v>
      </c>
      <c r="R20" s="110"/>
      <c r="S20" s="110"/>
      <c r="T20" s="110"/>
      <c r="U20" s="110"/>
      <c r="V20" s="110"/>
      <c r="W20" s="111"/>
      <c r="X20" s="107" t="str">
        <f t="shared" si="0"/>
        <v>Week4</v>
      </c>
      <c r="Y20" s="107"/>
      <c r="Z20" s="107"/>
      <c r="AA20" s="107"/>
      <c r="AB20" s="107"/>
      <c r="AC20" s="107"/>
      <c r="AD20" s="107"/>
      <c r="AE20" s="112" t="str">
        <f>"Week" &amp;INT((DAY(AE21)-1)/7)+1</f>
        <v>Week5</v>
      </c>
      <c r="AF20" s="113"/>
      <c r="AG20" s="114"/>
      <c r="AH20" s="87" t="s">
        <v>13</v>
      </c>
      <c r="AI20" s="88"/>
      <c r="AJ20" s="2"/>
    </row>
    <row r="21" spans="1:36">
      <c r="A21" s="2"/>
      <c r="B21" s="104"/>
      <c r="C21" s="15">
        <f>Sheet2!B3</f>
        <v>46357</v>
      </c>
      <c r="D21" s="16">
        <f>C21+1</f>
        <v>46358</v>
      </c>
      <c r="E21" s="16">
        <f t="shared" ref="E21:AG21" si="1">D21+1</f>
        <v>46359</v>
      </c>
      <c r="F21" s="16">
        <f t="shared" si="1"/>
        <v>46360</v>
      </c>
      <c r="G21" s="16">
        <f t="shared" si="1"/>
        <v>46361</v>
      </c>
      <c r="H21" s="16">
        <f t="shared" si="1"/>
        <v>46362</v>
      </c>
      <c r="I21" s="18">
        <f t="shared" si="1"/>
        <v>46363</v>
      </c>
      <c r="J21" s="16">
        <f t="shared" si="1"/>
        <v>46364</v>
      </c>
      <c r="K21" s="16">
        <f t="shared" si="1"/>
        <v>46365</v>
      </c>
      <c r="L21" s="16">
        <f t="shared" si="1"/>
        <v>46366</v>
      </c>
      <c r="M21" s="17">
        <f t="shared" si="1"/>
        <v>46367</v>
      </c>
      <c r="N21" s="16">
        <f t="shared" si="1"/>
        <v>46368</v>
      </c>
      <c r="O21" s="16">
        <f t="shared" si="1"/>
        <v>46369</v>
      </c>
      <c r="P21" s="18">
        <f t="shared" si="1"/>
        <v>46370</v>
      </c>
      <c r="Q21" s="8">
        <f t="shared" si="1"/>
        <v>46371</v>
      </c>
      <c r="R21" s="8">
        <f t="shared" si="1"/>
        <v>46372</v>
      </c>
      <c r="S21" s="8">
        <f t="shared" si="1"/>
        <v>46373</v>
      </c>
      <c r="T21" s="8">
        <f t="shared" si="1"/>
        <v>46374</v>
      </c>
      <c r="U21" s="8">
        <f t="shared" si="1"/>
        <v>46375</v>
      </c>
      <c r="V21" s="8">
        <f t="shared" si="1"/>
        <v>46376</v>
      </c>
      <c r="W21" s="8">
        <f t="shared" si="1"/>
        <v>46377</v>
      </c>
      <c r="X21" s="15">
        <f>W21+1</f>
        <v>46378</v>
      </c>
      <c r="Y21" s="16">
        <f t="shared" si="1"/>
        <v>46379</v>
      </c>
      <c r="Z21" s="16">
        <f t="shared" si="1"/>
        <v>46380</v>
      </c>
      <c r="AA21" s="16">
        <f t="shared" si="1"/>
        <v>46381</v>
      </c>
      <c r="AB21" s="16">
        <f t="shared" si="1"/>
        <v>46382</v>
      </c>
      <c r="AC21" s="16">
        <f t="shared" si="1"/>
        <v>46383</v>
      </c>
      <c r="AD21" s="16">
        <f t="shared" si="1"/>
        <v>46384</v>
      </c>
      <c r="AE21" s="47">
        <f>AD21+1</f>
        <v>46385</v>
      </c>
      <c r="AF21" s="8">
        <f t="shared" si="1"/>
        <v>46386</v>
      </c>
      <c r="AG21" s="8">
        <f t="shared" si="1"/>
        <v>46387</v>
      </c>
      <c r="AH21" s="89"/>
      <c r="AI21" s="90"/>
      <c r="AJ21" s="2"/>
    </row>
    <row r="22" spans="1:36">
      <c r="A22" s="2"/>
      <c r="B22" s="104"/>
      <c r="C22" s="10" t="str">
        <f>TEXT(Sheet2!B3,"ddd")</f>
        <v>Tue</v>
      </c>
      <c r="D22" s="9" t="str">
        <f>TEXT(D21,"ddd")</f>
        <v>Wed</v>
      </c>
      <c r="E22" s="9" t="str">
        <f t="shared" ref="E22:AG22" si="2">TEXT(E21,"ddd")</f>
        <v>Thu</v>
      </c>
      <c r="F22" s="9" t="str">
        <f t="shared" si="2"/>
        <v>Fri</v>
      </c>
      <c r="G22" s="9" t="str">
        <f t="shared" si="2"/>
        <v>Sat</v>
      </c>
      <c r="H22" s="9" t="str">
        <f t="shared" si="2"/>
        <v>Sun</v>
      </c>
      <c r="I22" s="11" t="str">
        <f t="shared" si="2"/>
        <v>Mon</v>
      </c>
      <c r="J22" s="9" t="str">
        <f t="shared" si="2"/>
        <v>Tue</v>
      </c>
      <c r="K22" s="9" t="str">
        <f t="shared" si="2"/>
        <v>Wed</v>
      </c>
      <c r="L22" s="9" t="str">
        <f t="shared" si="2"/>
        <v>Thu</v>
      </c>
      <c r="M22" s="9" t="str">
        <f t="shared" si="2"/>
        <v>Fri</v>
      </c>
      <c r="N22" s="9" t="str">
        <f t="shared" si="2"/>
        <v>Sat</v>
      </c>
      <c r="O22" s="9" t="str">
        <f t="shared" si="2"/>
        <v>Sun</v>
      </c>
      <c r="P22" s="11" t="str">
        <f t="shared" si="2"/>
        <v>Mon</v>
      </c>
      <c r="Q22" s="9" t="str">
        <f t="shared" si="2"/>
        <v>Tue</v>
      </c>
      <c r="R22" s="9" t="str">
        <f t="shared" si="2"/>
        <v>Wed</v>
      </c>
      <c r="S22" s="9" t="str">
        <f t="shared" si="2"/>
        <v>Thu</v>
      </c>
      <c r="T22" s="9" t="str">
        <f t="shared" si="2"/>
        <v>Fri</v>
      </c>
      <c r="U22" s="9" t="str">
        <f t="shared" si="2"/>
        <v>Sat</v>
      </c>
      <c r="V22" s="9" t="str">
        <f t="shared" si="2"/>
        <v>Sun</v>
      </c>
      <c r="W22" s="9" t="str">
        <f t="shared" si="2"/>
        <v>Mon</v>
      </c>
      <c r="X22" s="10" t="str">
        <f t="shared" si="2"/>
        <v>Tue</v>
      </c>
      <c r="Y22" s="9" t="str">
        <f t="shared" si="2"/>
        <v>Wed</v>
      </c>
      <c r="Z22" s="9" t="str">
        <f t="shared" si="2"/>
        <v>Thu</v>
      </c>
      <c r="AA22" s="9" t="str">
        <f t="shared" si="2"/>
        <v>Fri</v>
      </c>
      <c r="AB22" s="9" t="str">
        <f t="shared" si="2"/>
        <v>Sat</v>
      </c>
      <c r="AC22" s="9" t="str">
        <f t="shared" si="2"/>
        <v>Sun</v>
      </c>
      <c r="AD22" s="9" t="str">
        <f t="shared" si="2"/>
        <v>Mon</v>
      </c>
      <c r="AE22" s="10" t="str">
        <f t="shared" si="2"/>
        <v>Tue</v>
      </c>
      <c r="AF22" s="9" t="str">
        <f t="shared" si="2"/>
        <v>Wed</v>
      </c>
      <c r="AG22" s="9" t="str">
        <f t="shared" si="2"/>
        <v>Thu</v>
      </c>
      <c r="AH22" s="89"/>
      <c r="AI22" s="90"/>
      <c r="AJ22" s="2"/>
    </row>
    <row r="23" spans="1:36">
      <c r="A23" s="2"/>
      <c r="B23" s="105"/>
      <c r="C23" s="12" cm="1">
        <f t="array" ref="C23:AG23">_xlfn.SEQUENCE(,31)</f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4">
        <v>7</v>
      </c>
      <c r="J23" s="82">
        <v>8</v>
      </c>
      <c r="K23" s="82">
        <v>9</v>
      </c>
      <c r="L23" s="82">
        <v>10</v>
      </c>
      <c r="M23" s="82">
        <v>11</v>
      </c>
      <c r="N23" s="82">
        <v>12</v>
      </c>
      <c r="O23" s="82">
        <v>13</v>
      </c>
      <c r="P23" s="83">
        <v>14</v>
      </c>
      <c r="Q23" s="82">
        <v>15</v>
      </c>
      <c r="R23" s="82">
        <v>16</v>
      </c>
      <c r="S23" s="82">
        <v>17</v>
      </c>
      <c r="T23" s="82">
        <v>18</v>
      </c>
      <c r="U23" s="82">
        <v>19</v>
      </c>
      <c r="V23" s="82">
        <v>20</v>
      </c>
      <c r="W23" s="82">
        <v>21</v>
      </c>
      <c r="X23" s="81">
        <v>22</v>
      </c>
      <c r="Y23" s="82">
        <v>23</v>
      </c>
      <c r="Z23" s="82">
        <v>24</v>
      </c>
      <c r="AA23" s="82">
        <v>25</v>
      </c>
      <c r="AB23" s="82">
        <v>26</v>
      </c>
      <c r="AC23" s="82">
        <v>27</v>
      </c>
      <c r="AD23" s="82">
        <v>28</v>
      </c>
      <c r="AE23" s="81">
        <v>29</v>
      </c>
      <c r="AF23" s="82">
        <v>30</v>
      </c>
      <c r="AG23" s="82">
        <v>31</v>
      </c>
      <c r="AH23" s="91"/>
      <c r="AI23" s="92"/>
      <c r="AJ23" s="2"/>
    </row>
    <row r="24" spans="1:36">
      <c r="A24" s="2"/>
      <c r="B24" s="6" t="s">
        <v>32</v>
      </c>
      <c r="C24" s="24" t="b">
        <v>1</v>
      </c>
      <c r="D24" s="20" t="b">
        <v>1</v>
      </c>
      <c r="E24" s="20" t="b">
        <v>0</v>
      </c>
      <c r="F24" s="20" t="b">
        <v>0</v>
      </c>
      <c r="G24" s="20" t="b">
        <v>0</v>
      </c>
      <c r="H24" s="20" t="b">
        <v>0</v>
      </c>
      <c r="I24" s="20" t="b">
        <v>1</v>
      </c>
      <c r="J24" s="27" t="b">
        <v>1</v>
      </c>
      <c r="K24" s="28" t="b">
        <v>1</v>
      </c>
      <c r="L24" s="28" t="b">
        <v>1</v>
      </c>
      <c r="M24" s="28" t="b">
        <v>1</v>
      </c>
      <c r="N24" s="28" t="b">
        <v>1</v>
      </c>
      <c r="O24" s="28" t="b">
        <v>1</v>
      </c>
      <c r="P24" s="28" t="b">
        <v>1</v>
      </c>
      <c r="Q24" s="31" t="b">
        <v>1</v>
      </c>
      <c r="R24" s="28" t="b">
        <v>1</v>
      </c>
      <c r="S24" s="28" t="b">
        <v>1</v>
      </c>
      <c r="T24" s="28" t="b">
        <v>1</v>
      </c>
      <c r="U24" s="28" t="b">
        <v>1</v>
      </c>
      <c r="V24" s="28" t="b">
        <v>1</v>
      </c>
      <c r="W24" s="28" t="b">
        <v>1</v>
      </c>
      <c r="X24" s="31" t="b">
        <v>1</v>
      </c>
      <c r="Y24" s="28" t="b">
        <v>1</v>
      </c>
      <c r="Z24" s="28" t="b">
        <v>1</v>
      </c>
      <c r="AA24" s="28" t="b">
        <v>1</v>
      </c>
      <c r="AB24" s="28" t="b">
        <v>1</v>
      </c>
      <c r="AC24" s="28" t="b">
        <v>1</v>
      </c>
      <c r="AD24" s="28" t="b">
        <v>1</v>
      </c>
      <c r="AE24" s="31" t="b">
        <v>1</v>
      </c>
      <c r="AF24" s="28" t="b">
        <v>1</v>
      </c>
      <c r="AG24" s="28" t="b">
        <v>1</v>
      </c>
      <c r="AH24" s="44">
        <f>COUNTIF(C24:AG24,"True")</f>
        <v>27</v>
      </c>
      <c r="AI24" s="48">
        <v>27</v>
      </c>
      <c r="AJ24" s="51"/>
    </row>
    <row r="25" spans="1:36">
      <c r="A25" s="2"/>
      <c r="B25" s="6" t="s">
        <v>15</v>
      </c>
      <c r="C25" s="19" t="b">
        <v>0</v>
      </c>
      <c r="D25" s="21" t="b">
        <v>0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1</v>
      </c>
      <c r="J25" s="29" t="b">
        <v>1</v>
      </c>
      <c r="K25" s="21" t="b">
        <v>1</v>
      </c>
      <c r="L25" s="21" t="b">
        <v>1</v>
      </c>
      <c r="M25" s="21" t="b">
        <v>1</v>
      </c>
      <c r="N25" s="21" t="b">
        <v>1</v>
      </c>
      <c r="O25" s="21" t="b">
        <v>1</v>
      </c>
      <c r="P25" s="21" t="b">
        <v>1</v>
      </c>
      <c r="Q25" s="29" t="b">
        <v>1</v>
      </c>
      <c r="R25" s="21" t="b">
        <v>1</v>
      </c>
      <c r="S25" s="21" t="b">
        <v>1</v>
      </c>
      <c r="T25" s="21" t="b">
        <v>1</v>
      </c>
      <c r="U25" s="21" t="b">
        <v>1</v>
      </c>
      <c r="V25" s="21" t="b">
        <v>1</v>
      </c>
      <c r="W25" s="21" t="b">
        <v>1</v>
      </c>
      <c r="X25" s="29" t="b">
        <v>1</v>
      </c>
      <c r="Y25" s="21" t="b">
        <v>1</v>
      </c>
      <c r="Z25" s="21" t="b">
        <v>1</v>
      </c>
      <c r="AA25" s="21" t="b">
        <v>1</v>
      </c>
      <c r="AB25" s="21" t="b">
        <v>1</v>
      </c>
      <c r="AC25" s="21" t="b">
        <v>1</v>
      </c>
      <c r="AD25" s="21" t="b">
        <v>1</v>
      </c>
      <c r="AE25" s="29" t="b">
        <v>1</v>
      </c>
      <c r="AF25" s="21" t="b">
        <v>1</v>
      </c>
      <c r="AG25" s="21" t="b">
        <v>1</v>
      </c>
      <c r="AH25" s="45">
        <f t="shared" ref="AH25:AI36" si="3">COUNTIF(C25:AG25,"True")</f>
        <v>27</v>
      </c>
      <c r="AI25" s="49">
        <f t="shared" si="3"/>
        <v>27</v>
      </c>
      <c r="AJ25" s="51"/>
    </row>
    <row r="26" spans="1:36">
      <c r="A26" s="2"/>
      <c r="B26" s="6" t="s">
        <v>16</v>
      </c>
      <c r="C26" s="19" t="b">
        <v>0</v>
      </c>
      <c r="D26" s="21" t="b">
        <v>1</v>
      </c>
      <c r="E26" s="21" t="b">
        <v>0</v>
      </c>
      <c r="F26" s="21" t="b">
        <v>1</v>
      </c>
      <c r="G26" s="21" t="b">
        <v>0</v>
      </c>
      <c r="H26" s="21" t="b">
        <v>0</v>
      </c>
      <c r="I26" s="21" t="b">
        <v>1</v>
      </c>
      <c r="J26" s="29" t="b">
        <v>0</v>
      </c>
      <c r="K26" s="21" t="b">
        <v>1</v>
      </c>
      <c r="L26" s="21" t="b">
        <v>1</v>
      </c>
      <c r="M26" s="21" t="b">
        <v>1</v>
      </c>
      <c r="N26" s="21" t="b">
        <v>1</v>
      </c>
      <c r="O26" s="21" t="b">
        <v>1</v>
      </c>
      <c r="P26" s="21" t="b">
        <v>1</v>
      </c>
      <c r="Q26" s="29" t="b">
        <v>1</v>
      </c>
      <c r="R26" s="21" t="b">
        <v>1</v>
      </c>
      <c r="S26" s="21" t="b">
        <v>1</v>
      </c>
      <c r="T26" s="21" t="b">
        <v>1</v>
      </c>
      <c r="U26" s="21" t="b">
        <v>1</v>
      </c>
      <c r="V26" s="21" t="b">
        <v>1</v>
      </c>
      <c r="W26" s="21" t="b">
        <v>1</v>
      </c>
      <c r="X26" s="29" t="b">
        <v>1</v>
      </c>
      <c r="Y26" s="21" t="b">
        <v>1</v>
      </c>
      <c r="Z26" s="21" t="b">
        <v>1</v>
      </c>
      <c r="AA26" s="21" t="b">
        <v>1</v>
      </c>
      <c r="AB26" s="21" t="b">
        <v>1</v>
      </c>
      <c r="AC26" s="21" t="b">
        <v>1</v>
      </c>
      <c r="AD26" s="21" t="b">
        <v>1</v>
      </c>
      <c r="AE26" s="29" t="b">
        <v>1</v>
      </c>
      <c r="AF26" s="21" t="b">
        <v>1</v>
      </c>
      <c r="AG26" s="21" t="b">
        <v>1</v>
      </c>
      <c r="AH26" s="45">
        <f t="shared" si="3"/>
        <v>26</v>
      </c>
      <c r="AI26" s="49">
        <f t="shared" si="3"/>
        <v>26</v>
      </c>
      <c r="AJ26" s="51"/>
    </row>
    <row r="27" spans="1:36">
      <c r="A27" s="2"/>
      <c r="B27" s="6" t="s">
        <v>17</v>
      </c>
      <c r="C27" s="19" t="b">
        <v>0</v>
      </c>
      <c r="D27" s="21" t="b">
        <v>1</v>
      </c>
      <c r="E27" s="21" t="b">
        <v>1</v>
      </c>
      <c r="F27" s="21" t="b">
        <v>1</v>
      </c>
      <c r="G27" s="21" t="b">
        <v>1</v>
      </c>
      <c r="H27" s="21" t="b">
        <v>1</v>
      </c>
      <c r="I27" s="21" t="b">
        <v>1</v>
      </c>
      <c r="J27" s="29" t="b">
        <v>1</v>
      </c>
      <c r="K27" s="21" t="b">
        <v>1</v>
      </c>
      <c r="L27" s="21" t="b">
        <v>1</v>
      </c>
      <c r="M27" s="21" t="b">
        <v>1</v>
      </c>
      <c r="N27" s="21" t="b">
        <v>1</v>
      </c>
      <c r="O27" s="21" t="b">
        <v>1</v>
      </c>
      <c r="P27" s="21" t="b">
        <v>1</v>
      </c>
      <c r="Q27" s="29" t="b">
        <v>1</v>
      </c>
      <c r="R27" s="21" t="b">
        <v>1</v>
      </c>
      <c r="S27" s="21" t="b">
        <v>1</v>
      </c>
      <c r="T27" s="21" t="b">
        <v>1</v>
      </c>
      <c r="U27" s="21" t="b">
        <v>1</v>
      </c>
      <c r="V27" s="21" t="b">
        <v>1</v>
      </c>
      <c r="W27" s="21" t="b">
        <v>1</v>
      </c>
      <c r="X27" s="29" t="b">
        <v>1</v>
      </c>
      <c r="Y27" s="21" t="b">
        <v>1</v>
      </c>
      <c r="Z27" s="21" t="b">
        <v>1</v>
      </c>
      <c r="AA27" s="21" t="b">
        <v>1</v>
      </c>
      <c r="AB27" s="21" t="b">
        <v>1</v>
      </c>
      <c r="AC27" s="21" t="b">
        <v>1</v>
      </c>
      <c r="AD27" s="21" t="b">
        <v>1</v>
      </c>
      <c r="AE27" s="29" t="b">
        <v>1</v>
      </c>
      <c r="AF27" s="21" t="b">
        <v>1</v>
      </c>
      <c r="AG27" s="21" t="b">
        <v>1</v>
      </c>
      <c r="AH27" s="45">
        <f t="shared" si="3"/>
        <v>30</v>
      </c>
      <c r="AI27" s="49">
        <f t="shared" si="3"/>
        <v>30</v>
      </c>
      <c r="AJ27" s="51"/>
    </row>
    <row r="28" spans="1:36">
      <c r="A28" s="2"/>
      <c r="B28" s="6" t="s">
        <v>18</v>
      </c>
      <c r="C28" s="19" t="b">
        <v>0</v>
      </c>
      <c r="D28" s="21" t="b">
        <v>1</v>
      </c>
      <c r="E28" s="21" t="b">
        <v>0</v>
      </c>
      <c r="F28" s="21" t="b">
        <v>1</v>
      </c>
      <c r="G28" s="21" t="b">
        <v>1</v>
      </c>
      <c r="H28" s="21" t="b">
        <v>0</v>
      </c>
      <c r="I28" s="21" t="b">
        <v>1</v>
      </c>
      <c r="J28" s="29" t="b">
        <v>1</v>
      </c>
      <c r="K28" s="21" t="b">
        <v>1</v>
      </c>
      <c r="L28" s="21" t="b">
        <v>1</v>
      </c>
      <c r="M28" s="21" t="b">
        <v>1</v>
      </c>
      <c r="N28" s="21" t="b">
        <v>1</v>
      </c>
      <c r="O28" s="21" t="b">
        <v>1</v>
      </c>
      <c r="P28" s="21" t="b">
        <v>1</v>
      </c>
      <c r="Q28" s="29" t="b">
        <v>1</v>
      </c>
      <c r="R28" s="21" t="b">
        <v>1</v>
      </c>
      <c r="S28" s="21" t="b">
        <v>1</v>
      </c>
      <c r="T28" s="21" t="b">
        <v>1</v>
      </c>
      <c r="U28" s="21" t="b">
        <v>1</v>
      </c>
      <c r="V28" s="21" t="b">
        <v>1</v>
      </c>
      <c r="W28" s="21" t="b">
        <v>1</v>
      </c>
      <c r="X28" s="29" t="b">
        <v>1</v>
      </c>
      <c r="Y28" s="21" t="b">
        <v>1</v>
      </c>
      <c r="Z28" s="21" t="b">
        <v>1</v>
      </c>
      <c r="AA28" s="21" t="b">
        <v>1</v>
      </c>
      <c r="AB28" s="21" t="b">
        <v>1</v>
      </c>
      <c r="AC28" s="21" t="b">
        <v>1</v>
      </c>
      <c r="AD28" s="21" t="b">
        <v>1</v>
      </c>
      <c r="AE28" s="29" t="b">
        <v>1</v>
      </c>
      <c r="AF28" s="21" t="b">
        <v>1</v>
      </c>
      <c r="AG28" s="21" t="b">
        <v>1</v>
      </c>
      <c r="AH28" s="45">
        <f t="shared" si="3"/>
        <v>28</v>
      </c>
      <c r="AI28" s="49">
        <f t="shared" si="3"/>
        <v>28</v>
      </c>
      <c r="AJ28" s="51"/>
    </row>
    <row r="29" spans="1:36">
      <c r="A29" s="2"/>
      <c r="B29" s="6" t="s">
        <v>19</v>
      </c>
      <c r="C29" s="19" t="b">
        <v>0</v>
      </c>
      <c r="D29" s="21" t="b">
        <v>1</v>
      </c>
      <c r="E29" s="21" t="b">
        <v>1</v>
      </c>
      <c r="F29" s="21" t="b">
        <v>0</v>
      </c>
      <c r="G29" s="21" t="b">
        <v>0</v>
      </c>
      <c r="H29" s="21" t="b">
        <v>1</v>
      </c>
      <c r="I29" s="21" t="b">
        <v>1</v>
      </c>
      <c r="J29" s="29" t="b">
        <v>1</v>
      </c>
      <c r="K29" s="21" t="b">
        <v>1</v>
      </c>
      <c r="L29" s="21" t="b">
        <v>1</v>
      </c>
      <c r="M29" s="21" t="b">
        <v>1</v>
      </c>
      <c r="N29" s="21" t="b">
        <v>1</v>
      </c>
      <c r="O29" s="21" t="b">
        <v>1</v>
      </c>
      <c r="P29" s="21" t="b">
        <v>1</v>
      </c>
      <c r="Q29" s="29" t="b">
        <v>1</v>
      </c>
      <c r="R29" s="21" t="b">
        <v>1</v>
      </c>
      <c r="S29" s="21" t="b">
        <v>1</v>
      </c>
      <c r="T29" s="21" t="b">
        <v>1</v>
      </c>
      <c r="U29" s="21" t="b">
        <v>1</v>
      </c>
      <c r="V29" s="21" t="b">
        <v>1</v>
      </c>
      <c r="W29" s="21" t="b">
        <v>1</v>
      </c>
      <c r="X29" s="29" t="b">
        <v>1</v>
      </c>
      <c r="Y29" s="21" t="b">
        <v>0</v>
      </c>
      <c r="Z29" s="21" t="b">
        <v>1</v>
      </c>
      <c r="AA29" s="21" t="b">
        <v>1</v>
      </c>
      <c r="AB29" s="21" t="b">
        <v>1</v>
      </c>
      <c r="AC29" s="21" t="b">
        <v>1</v>
      </c>
      <c r="AD29" s="21" t="b">
        <v>1</v>
      </c>
      <c r="AE29" s="29" t="b">
        <v>1</v>
      </c>
      <c r="AF29" s="21" t="b">
        <v>1</v>
      </c>
      <c r="AG29" s="21" t="b">
        <v>1</v>
      </c>
      <c r="AH29" s="45">
        <f t="shared" si="3"/>
        <v>27</v>
      </c>
      <c r="AI29" s="49">
        <f t="shared" si="3"/>
        <v>27</v>
      </c>
      <c r="AJ29" s="51"/>
    </row>
    <row r="30" spans="1:36">
      <c r="A30" s="2"/>
      <c r="B30" s="6" t="s">
        <v>20</v>
      </c>
      <c r="C30" s="19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1</v>
      </c>
      <c r="J30" s="29" t="b">
        <v>1</v>
      </c>
      <c r="K30" s="21" t="b">
        <v>1</v>
      </c>
      <c r="L30" s="21" t="b">
        <v>1</v>
      </c>
      <c r="M30" s="21" t="b">
        <v>1</v>
      </c>
      <c r="N30" s="21" t="b">
        <v>1</v>
      </c>
      <c r="O30" s="21" t="b">
        <v>1</v>
      </c>
      <c r="P30" s="21" t="b">
        <v>1</v>
      </c>
      <c r="Q30" s="29" t="b">
        <v>1</v>
      </c>
      <c r="R30" s="21" t="b">
        <v>1</v>
      </c>
      <c r="S30" s="21" t="b">
        <v>1</v>
      </c>
      <c r="T30" s="21" t="b">
        <v>1</v>
      </c>
      <c r="U30" s="21" t="b">
        <v>1</v>
      </c>
      <c r="V30" s="21" t="b">
        <v>1</v>
      </c>
      <c r="W30" s="21" t="b">
        <v>1</v>
      </c>
      <c r="X30" s="29" t="b">
        <v>1</v>
      </c>
      <c r="Y30" s="21" t="b">
        <v>1</v>
      </c>
      <c r="Z30" s="21" t="b">
        <v>1</v>
      </c>
      <c r="AA30" s="21" t="b">
        <v>1</v>
      </c>
      <c r="AB30" s="21" t="b">
        <v>1</v>
      </c>
      <c r="AC30" s="21" t="b">
        <v>1</v>
      </c>
      <c r="AD30" s="21" t="b">
        <v>1</v>
      </c>
      <c r="AE30" s="29" t="b">
        <v>1</v>
      </c>
      <c r="AF30" s="21" t="b">
        <v>1</v>
      </c>
      <c r="AG30" s="21" t="b">
        <v>1</v>
      </c>
      <c r="AH30" s="45">
        <f t="shared" si="3"/>
        <v>27</v>
      </c>
      <c r="AI30" s="49">
        <f t="shared" si="3"/>
        <v>27</v>
      </c>
      <c r="AJ30" s="51"/>
    </row>
    <row r="31" spans="1:36">
      <c r="A31" s="2"/>
      <c r="B31" s="6" t="s">
        <v>21</v>
      </c>
      <c r="C31" s="19" t="b">
        <v>0</v>
      </c>
      <c r="D31" s="21" t="b">
        <v>1</v>
      </c>
      <c r="E31" s="21" t="b">
        <v>1</v>
      </c>
      <c r="F31" s="21" t="b">
        <v>1</v>
      </c>
      <c r="G31" s="21" t="b">
        <v>0</v>
      </c>
      <c r="H31" s="21" t="b">
        <v>1</v>
      </c>
      <c r="I31" s="21" t="b">
        <v>1</v>
      </c>
      <c r="J31" s="29" t="b">
        <v>1</v>
      </c>
      <c r="K31" s="21" t="b">
        <v>1</v>
      </c>
      <c r="L31" s="21" t="b">
        <v>1</v>
      </c>
      <c r="M31" s="21" t="b">
        <v>1</v>
      </c>
      <c r="N31" s="21" t="b">
        <v>1</v>
      </c>
      <c r="O31" s="21" t="b">
        <v>1</v>
      </c>
      <c r="P31" s="21" t="b">
        <v>1</v>
      </c>
      <c r="Q31" s="29" t="b">
        <v>1</v>
      </c>
      <c r="R31" s="21" t="b">
        <v>1</v>
      </c>
      <c r="S31" s="21" t="b">
        <v>1</v>
      </c>
      <c r="T31" s="21" t="b">
        <v>1</v>
      </c>
      <c r="U31" s="21" t="b">
        <v>1</v>
      </c>
      <c r="V31" s="21" t="b">
        <v>1</v>
      </c>
      <c r="W31" s="21" t="b">
        <v>1</v>
      </c>
      <c r="X31" s="29" t="b">
        <v>1</v>
      </c>
      <c r="Y31" s="21" t="b">
        <v>1</v>
      </c>
      <c r="Z31" s="21" t="b">
        <v>1</v>
      </c>
      <c r="AA31" s="21" t="b">
        <v>0</v>
      </c>
      <c r="AB31" s="21" t="b">
        <v>1</v>
      </c>
      <c r="AC31" s="21" t="b">
        <v>1</v>
      </c>
      <c r="AD31" s="21" t="b">
        <v>1</v>
      </c>
      <c r="AE31" s="29" t="b">
        <v>1</v>
      </c>
      <c r="AF31" s="21" t="b">
        <v>0</v>
      </c>
      <c r="AG31" s="21" t="b">
        <v>1</v>
      </c>
      <c r="AH31" s="45">
        <f t="shared" si="3"/>
        <v>27</v>
      </c>
      <c r="AI31" s="49">
        <f t="shared" si="3"/>
        <v>27</v>
      </c>
      <c r="AJ31" s="51"/>
    </row>
    <row r="32" spans="1:36">
      <c r="A32" s="2"/>
      <c r="B32" s="6" t="s">
        <v>22</v>
      </c>
      <c r="C32" s="19" t="b">
        <v>0</v>
      </c>
      <c r="D32" s="21" t="b">
        <v>1</v>
      </c>
      <c r="E32" s="21" t="b">
        <v>1</v>
      </c>
      <c r="F32" s="21" t="b">
        <v>0</v>
      </c>
      <c r="G32" s="21" t="b">
        <v>1</v>
      </c>
      <c r="H32" s="21" t="b">
        <v>0</v>
      </c>
      <c r="I32" s="21" t="b">
        <v>1</v>
      </c>
      <c r="J32" s="29" t="b">
        <v>1</v>
      </c>
      <c r="K32" s="21" t="b">
        <v>1</v>
      </c>
      <c r="L32" s="21" t="b">
        <v>1</v>
      </c>
      <c r="M32" s="21" t="b">
        <v>1</v>
      </c>
      <c r="N32" s="21" t="b">
        <v>1</v>
      </c>
      <c r="O32" s="21" t="b">
        <v>1</v>
      </c>
      <c r="P32" s="21" t="b">
        <v>1</v>
      </c>
      <c r="Q32" s="29" t="b">
        <v>1</v>
      </c>
      <c r="R32" s="21" t="b">
        <v>1</v>
      </c>
      <c r="S32" s="21" t="b">
        <v>1</v>
      </c>
      <c r="T32" s="21" t="b">
        <v>1</v>
      </c>
      <c r="U32" s="21" t="b">
        <v>1</v>
      </c>
      <c r="V32" s="21" t="b">
        <v>1</v>
      </c>
      <c r="W32" s="21" t="b">
        <v>1</v>
      </c>
      <c r="X32" s="29" t="b">
        <v>1</v>
      </c>
      <c r="Y32" s="21" t="b">
        <v>1</v>
      </c>
      <c r="Z32" s="21" t="b">
        <v>1</v>
      </c>
      <c r="AA32" s="21" t="b">
        <v>1</v>
      </c>
      <c r="AB32" s="21" t="b">
        <v>1</v>
      </c>
      <c r="AC32" s="21" t="b">
        <v>1</v>
      </c>
      <c r="AD32" s="21" t="b">
        <v>1</v>
      </c>
      <c r="AE32" s="29" t="b">
        <v>1</v>
      </c>
      <c r="AF32" s="21" t="b">
        <v>1</v>
      </c>
      <c r="AG32" s="21" t="b">
        <v>1</v>
      </c>
      <c r="AH32" s="45">
        <f t="shared" si="3"/>
        <v>28</v>
      </c>
      <c r="AI32" s="49">
        <f t="shared" si="3"/>
        <v>28</v>
      </c>
      <c r="AJ32" s="51"/>
    </row>
    <row r="33" spans="1:36">
      <c r="A33" s="2"/>
      <c r="B33" s="6" t="s">
        <v>23</v>
      </c>
      <c r="C33" s="19" t="b">
        <v>0</v>
      </c>
      <c r="D33" s="21" t="b">
        <v>0</v>
      </c>
      <c r="E33" s="21" t="b">
        <v>1</v>
      </c>
      <c r="F33" s="21" t="b">
        <v>0</v>
      </c>
      <c r="G33" s="21" t="b">
        <v>0</v>
      </c>
      <c r="H33" s="21" t="b">
        <v>1</v>
      </c>
      <c r="I33" s="21" t="b">
        <v>1</v>
      </c>
      <c r="J33" s="29" t="b">
        <v>1</v>
      </c>
      <c r="K33" s="21" t="b">
        <v>1</v>
      </c>
      <c r="L33" s="21" t="b">
        <v>1</v>
      </c>
      <c r="M33" s="21" t="b">
        <v>1</v>
      </c>
      <c r="N33" s="21" t="b">
        <v>1</v>
      </c>
      <c r="O33" s="21" t="b">
        <v>1</v>
      </c>
      <c r="P33" s="21" t="b">
        <v>1</v>
      </c>
      <c r="Q33" s="29" t="b">
        <v>1</v>
      </c>
      <c r="R33" s="21" t="b">
        <v>1</v>
      </c>
      <c r="S33" s="21" t="b">
        <v>1</v>
      </c>
      <c r="T33" s="21" t="b">
        <v>1</v>
      </c>
      <c r="U33" s="21" t="b">
        <v>1</v>
      </c>
      <c r="V33" s="21" t="b">
        <v>1</v>
      </c>
      <c r="W33" s="21" t="b">
        <v>1</v>
      </c>
      <c r="X33" s="29" t="b">
        <v>1</v>
      </c>
      <c r="Y33" s="21" t="b">
        <v>1</v>
      </c>
      <c r="Z33" s="21" t="b">
        <v>1</v>
      </c>
      <c r="AA33" s="21" t="b">
        <v>1</v>
      </c>
      <c r="AB33" s="21" t="b">
        <v>1</v>
      </c>
      <c r="AC33" s="21" t="b">
        <v>1</v>
      </c>
      <c r="AD33" s="21" t="b">
        <v>1</v>
      </c>
      <c r="AE33" s="29" t="b">
        <v>1</v>
      </c>
      <c r="AF33" s="21" t="b">
        <v>1</v>
      </c>
      <c r="AG33" s="21" t="b">
        <v>1</v>
      </c>
      <c r="AH33" s="45">
        <f t="shared" si="3"/>
        <v>27</v>
      </c>
      <c r="AI33" s="49">
        <f t="shared" si="3"/>
        <v>27</v>
      </c>
      <c r="AJ33" s="51"/>
    </row>
    <row r="34" spans="1:36">
      <c r="A34" s="2"/>
      <c r="B34" s="6" t="s">
        <v>24</v>
      </c>
      <c r="C34" s="19" t="b">
        <v>0</v>
      </c>
      <c r="D34" s="21" t="b">
        <v>0</v>
      </c>
      <c r="E34" s="21" t="b">
        <v>1</v>
      </c>
      <c r="F34" s="21" t="b">
        <v>0</v>
      </c>
      <c r="G34" s="21" t="b">
        <v>1</v>
      </c>
      <c r="H34" s="21" t="b">
        <v>0</v>
      </c>
      <c r="I34" s="21" t="b">
        <v>1</v>
      </c>
      <c r="J34" s="29" t="b">
        <v>1</v>
      </c>
      <c r="K34" s="21" t="b">
        <v>1</v>
      </c>
      <c r="L34" s="21" t="b">
        <v>1</v>
      </c>
      <c r="M34" s="21" t="b">
        <v>1</v>
      </c>
      <c r="N34" s="21" t="b">
        <v>1</v>
      </c>
      <c r="O34" s="21" t="b">
        <v>1</v>
      </c>
      <c r="P34" s="21" t="b">
        <v>1</v>
      </c>
      <c r="Q34" s="29" t="b">
        <v>1</v>
      </c>
      <c r="R34" s="21" t="b">
        <v>1</v>
      </c>
      <c r="S34" s="21" t="b">
        <v>1</v>
      </c>
      <c r="T34" s="21" t="b">
        <v>1</v>
      </c>
      <c r="U34" s="21" t="b">
        <v>1</v>
      </c>
      <c r="V34" s="21" t="b">
        <v>1</v>
      </c>
      <c r="W34" s="21" t="b">
        <v>1</v>
      </c>
      <c r="X34" s="29" t="b">
        <v>1</v>
      </c>
      <c r="Y34" s="21" t="b">
        <v>1</v>
      </c>
      <c r="Z34" s="21" t="b">
        <v>1</v>
      </c>
      <c r="AA34" s="21" t="b">
        <v>1</v>
      </c>
      <c r="AB34" s="21" t="b">
        <v>1</v>
      </c>
      <c r="AC34" s="21" t="b">
        <v>1</v>
      </c>
      <c r="AD34" s="21" t="b">
        <v>1</v>
      </c>
      <c r="AE34" s="29" t="b">
        <v>1</v>
      </c>
      <c r="AF34" s="21" t="b">
        <v>1</v>
      </c>
      <c r="AG34" s="21" t="b">
        <v>1</v>
      </c>
      <c r="AH34" s="45">
        <f t="shared" si="3"/>
        <v>27</v>
      </c>
      <c r="AI34" s="49">
        <f t="shared" si="3"/>
        <v>27</v>
      </c>
      <c r="AJ34" s="51"/>
    </row>
    <row r="35" spans="1:36">
      <c r="A35" s="2"/>
      <c r="B35" s="6" t="s">
        <v>25</v>
      </c>
      <c r="C35" s="19" t="b">
        <v>0</v>
      </c>
      <c r="D35" s="21" t="b">
        <v>0</v>
      </c>
      <c r="E35" s="21" t="b">
        <v>0</v>
      </c>
      <c r="F35" s="21" t="b">
        <v>0</v>
      </c>
      <c r="G35" s="21" t="b">
        <v>1</v>
      </c>
      <c r="H35" s="21" t="b">
        <v>0</v>
      </c>
      <c r="I35" s="21" t="b">
        <v>1</v>
      </c>
      <c r="J35" s="29" t="b">
        <v>1</v>
      </c>
      <c r="K35" s="21" t="b">
        <v>1</v>
      </c>
      <c r="L35" s="21" t="b">
        <v>1</v>
      </c>
      <c r="M35" s="21" t="b">
        <v>1</v>
      </c>
      <c r="N35" s="21" t="b">
        <v>1</v>
      </c>
      <c r="O35" s="21" t="b">
        <v>1</v>
      </c>
      <c r="P35" s="21" t="b">
        <v>1</v>
      </c>
      <c r="Q35" s="29" t="b">
        <v>1</v>
      </c>
      <c r="R35" s="21" t="b">
        <v>1</v>
      </c>
      <c r="S35" s="21" t="b">
        <v>1</v>
      </c>
      <c r="T35" s="21" t="b">
        <v>1</v>
      </c>
      <c r="U35" s="21" t="b">
        <v>1</v>
      </c>
      <c r="V35" s="21" t="b">
        <v>1</v>
      </c>
      <c r="W35" s="21" t="b">
        <v>1</v>
      </c>
      <c r="X35" s="29" t="b">
        <v>1</v>
      </c>
      <c r="Y35" s="21" t="b">
        <v>1</v>
      </c>
      <c r="Z35" s="21" t="b">
        <v>1</v>
      </c>
      <c r="AA35" s="21" t="b">
        <v>1</v>
      </c>
      <c r="AB35" s="21" t="b">
        <v>1</v>
      </c>
      <c r="AC35" s="21" t="b">
        <v>1</v>
      </c>
      <c r="AD35" s="21" t="b">
        <v>1</v>
      </c>
      <c r="AE35" s="29" t="b">
        <v>1</v>
      </c>
      <c r="AF35" s="21" t="b">
        <v>1</v>
      </c>
      <c r="AG35" s="21" t="b">
        <v>1</v>
      </c>
      <c r="AH35" s="45">
        <f t="shared" si="3"/>
        <v>26</v>
      </c>
      <c r="AI35" s="49">
        <f t="shared" si="3"/>
        <v>26</v>
      </c>
      <c r="AJ35" s="51"/>
    </row>
    <row r="36" spans="1:36">
      <c r="A36" s="2"/>
      <c r="B36" s="7" t="s">
        <v>26</v>
      </c>
      <c r="C36" s="22" t="b">
        <v>0</v>
      </c>
      <c r="D36" s="23" t="b">
        <v>0</v>
      </c>
      <c r="E36" s="23" t="b">
        <v>0</v>
      </c>
      <c r="F36" s="23" t="b">
        <v>0</v>
      </c>
      <c r="G36" s="23" t="b">
        <v>0</v>
      </c>
      <c r="H36" s="23" t="b">
        <v>0</v>
      </c>
      <c r="I36" s="23" t="b">
        <v>1</v>
      </c>
      <c r="J36" s="30" t="b">
        <v>1</v>
      </c>
      <c r="K36" s="23" t="b">
        <v>1</v>
      </c>
      <c r="L36" s="23" t="b">
        <v>1</v>
      </c>
      <c r="M36" s="23" t="b">
        <v>1</v>
      </c>
      <c r="N36" s="23" t="b">
        <v>1</v>
      </c>
      <c r="O36" s="23" t="b">
        <v>1</v>
      </c>
      <c r="P36" s="23" t="b">
        <v>1</v>
      </c>
      <c r="Q36" s="30" t="b">
        <v>1</v>
      </c>
      <c r="R36" s="23" t="b">
        <v>1</v>
      </c>
      <c r="S36" s="23" t="b">
        <v>1</v>
      </c>
      <c r="T36" s="23" t="b">
        <v>1</v>
      </c>
      <c r="U36" s="23" t="b">
        <v>1</v>
      </c>
      <c r="V36" s="23" t="b">
        <v>1</v>
      </c>
      <c r="W36" s="23" t="b">
        <v>1</v>
      </c>
      <c r="X36" s="30" t="b">
        <v>1</v>
      </c>
      <c r="Y36" s="23" t="b">
        <v>1</v>
      </c>
      <c r="Z36" s="23" t="b">
        <v>1</v>
      </c>
      <c r="AA36" s="23" t="b">
        <v>1</v>
      </c>
      <c r="AB36" s="23" t="b">
        <v>1</v>
      </c>
      <c r="AC36" s="23" t="b">
        <v>1</v>
      </c>
      <c r="AD36" s="23" t="b">
        <v>1</v>
      </c>
      <c r="AE36" s="30" t="b">
        <v>1</v>
      </c>
      <c r="AF36" s="23" t="b">
        <v>1</v>
      </c>
      <c r="AG36" s="23" t="b">
        <v>1</v>
      </c>
      <c r="AH36" s="46">
        <f t="shared" si="3"/>
        <v>25</v>
      </c>
      <c r="AI36" s="50">
        <f t="shared" si="3"/>
        <v>25</v>
      </c>
      <c r="AJ36" s="51"/>
    </row>
    <row r="37" spans="1:3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52"/>
    </row>
    <row r="38" spans="1:36">
      <c r="A38" s="2"/>
      <c r="B38" s="41" t="s">
        <v>27</v>
      </c>
      <c r="C38" s="60">
        <f>COUNTIF(C24:C36,"TRUE")</f>
        <v>1</v>
      </c>
      <c r="D38" s="42">
        <f t="shared" ref="D38:AG38" si="4">COUNTIF(D24:D36,"TRUE")</f>
        <v>8</v>
      </c>
      <c r="E38" s="42">
        <f t="shared" si="4"/>
        <v>7</v>
      </c>
      <c r="F38" s="42">
        <f t="shared" si="4"/>
        <v>5</v>
      </c>
      <c r="G38" s="42">
        <f t="shared" si="4"/>
        <v>6</v>
      </c>
      <c r="H38" s="42">
        <f t="shared" si="4"/>
        <v>4</v>
      </c>
      <c r="I38" s="42">
        <f t="shared" si="4"/>
        <v>13</v>
      </c>
      <c r="J38" s="60">
        <f>COUNTIF(J24:J36,"TRUE")</f>
        <v>12</v>
      </c>
      <c r="K38" s="42">
        <f t="shared" si="4"/>
        <v>13</v>
      </c>
      <c r="L38" s="42">
        <f t="shared" si="4"/>
        <v>13</v>
      </c>
      <c r="M38" s="42">
        <f t="shared" si="4"/>
        <v>13</v>
      </c>
      <c r="N38" s="42">
        <f t="shared" si="4"/>
        <v>13</v>
      </c>
      <c r="O38" s="42">
        <f t="shared" si="4"/>
        <v>13</v>
      </c>
      <c r="P38" s="42">
        <f t="shared" si="4"/>
        <v>13</v>
      </c>
      <c r="Q38" s="60">
        <f t="shared" si="4"/>
        <v>13</v>
      </c>
      <c r="R38" s="42">
        <f t="shared" si="4"/>
        <v>13</v>
      </c>
      <c r="S38" s="42">
        <f t="shared" si="4"/>
        <v>13</v>
      </c>
      <c r="T38" s="42">
        <f t="shared" si="4"/>
        <v>13</v>
      </c>
      <c r="U38" s="42">
        <f t="shared" si="4"/>
        <v>13</v>
      </c>
      <c r="V38" s="42">
        <f t="shared" si="4"/>
        <v>13</v>
      </c>
      <c r="W38" s="42">
        <f t="shared" si="4"/>
        <v>13</v>
      </c>
      <c r="X38" s="60">
        <f>COUNTIF(X24:X36,"TRUE")</f>
        <v>13</v>
      </c>
      <c r="Y38" s="42">
        <f t="shared" si="4"/>
        <v>12</v>
      </c>
      <c r="Z38" s="42">
        <f t="shared" si="4"/>
        <v>13</v>
      </c>
      <c r="AA38" s="42">
        <f t="shared" si="4"/>
        <v>12</v>
      </c>
      <c r="AB38" s="42">
        <f t="shared" si="4"/>
        <v>13</v>
      </c>
      <c r="AC38" s="42">
        <f t="shared" si="4"/>
        <v>13</v>
      </c>
      <c r="AD38" s="43">
        <f t="shared" si="4"/>
        <v>13</v>
      </c>
      <c r="AE38" s="42">
        <f t="shared" si="4"/>
        <v>13</v>
      </c>
      <c r="AF38" s="42">
        <f t="shared" si="4"/>
        <v>12</v>
      </c>
      <c r="AG38" s="43">
        <f t="shared" si="4"/>
        <v>13</v>
      </c>
      <c r="AH38" s="2"/>
      <c r="AI38" s="2"/>
      <c r="AJ38" s="2"/>
    </row>
    <row r="39" spans="1:36">
      <c r="A39" s="2"/>
      <c r="B39" s="12" t="s">
        <v>28</v>
      </c>
      <c r="C39" s="84">
        <f>E41</f>
        <v>0</v>
      </c>
      <c r="D39" s="85">
        <f t="shared" ref="D39:AG39" si="5">D38/COUNTA(D24:D36)</f>
        <v>0.61538461538461542</v>
      </c>
      <c r="E39" s="85">
        <f t="shared" si="5"/>
        <v>0.53846153846153844</v>
      </c>
      <c r="F39" s="85">
        <f t="shared" si="5"/>
        <v>0.38461538461538464</v>
      </c>
      <c r="G39" s="85">
        <f t="shared" si="5"/>
        <v>0.46153846153846156</v>
      </c>
      <c r="H39" s="85">
        <f t="shared" si="5"/>
        <v>0.30769230769230771</v>
      </c>
      <c r="I39" s="85">
        <f t="shared" si="5"/>
        <v>1</v>
      </c>
      <c r="J39" s="84">
        <f t="shared" si="5"/>
        <v>0.92307692307692313</v>
      </c>
      <c r="K39" s="85">
        <f t="shared" si="5"/>
        <v>1</v>
      </c>
      <c r="L39" s="85">
        <f t="shared" si="5"/>
        <v>1</v>
      </c>
      <c r="M39" s="85">
        <f t="shared" si="5"/>
        <v>1</v>
      </c>
      <c r="N39" s="85">
        <f t="shared" si="5"/>
        <v>1</v>
      </c>
      <c r="O39" s="85">
        <f t="shared" si="5"/>
        <v>1</v>
      </c>
      <c r="P39" s="85">
        <f t="shared" si="5"/>
        <v>1</v>
      </c>
      <c r="Q39" s="84">
        <f t="shared" si="5"/>
        <v>1</v>
      </c>
      <c r="R39" s="85">
        <f t="shared" si="5"/>
        <v>1</v>
      </c>
      <c r="S39" s="85">
        <f t="shared" si="5"/>
        <v>1</v>
      </c>
      <c r="T39" s="85">
        <f t="shared" si="5"/>
        <v>1</v>
      </c>
      <c r="U39" s="85">
        <f t="shared" si="5"/>
        <v>1</v>
      </c>
      <c r="V39" s="85">
        <f t="shared" si="5"/>
        <v>1</v>
      </c>
      <c r="W39" s="85">
        <f t="shared" si="5"/>
        <v>1</v>
      </c>
      <c r="X39" s="84">
        <f t="shared" si="5"/>
        <v>1</v>
      </c>
      <c r="Y39" s="85">
        <f t="shared" si="5"/>
        <v>0.92307692307692313</v>
      </c>
      <c r="Z39" s="85">
        <f t="shared" si="5"/>
        <v>1</v>
      </c>
      <c r="AA39" s="85">
        <f t="shared" si="5"/>
        <v>0.92307692307692313</v>
      </c>
      <c r="AB39" s="85">
        <f t="shared" si="5"/>
        <v>1</v>
      </c>
      <c r="AC39" s="85">
        <f t="shared" si="5"/>
        <v>1</v>
      </c>
      <c r="AD39" s="86">
        <f t="shared" si="5"/>
        <v>1</v>
      </c>
      <c r="AE39" s="85">
        <f t="shared" si="5"/>
        <v>1</v>
      </c>
      <c r="AF39" s="85">
        <f t="shared" si="5"/>
        <v>0.92307692307692313</v>
      </c>
      <c r="AG39" s="86">
        <f t="shared" si="5"/>
        <v>1</v>
      </c>
      <c r="AH39" s="2"/>
      <c r="AI39" s="2"/>
      <c r="AJ39" s="2"/>
    </row>
    <row r="40" spans="1:36">
      <c r="A40" s="2"/>
      <c r="B40" s="2"/>
      <c r="C40" s="25"/>
      <c r="D40" s="2"/>
      <c r="E40" s="2"/>
      <c r="F40" s="2"/>
      <c r="G40" s="2"/>
      <c r="H40" s="2"/>
      <c r="I40" s="2"/>
      <c r="J40" s="25"/>
      <c r="K40" s="25"/>
      <c r="L40" s="25"/>
      <c r="M40" s="2"/>
      <c r="N40" s="2"/>
      <c r="O40" s="2"/>
      <c r="P40" s="2"/>
      <c r="Q40" s="25"/>
      <c r="R40" s="2"/>
      <c r="S40" s="2"/>
      <c r="T40" s="2"/>
      <c r="U40" s="2"/>
      <c r="V40" s="2"/>
      <c r="W40" s="2"/>
      <c r="X40" s="25"/>
      <c r="Y40" s="2"/>
      <c r="Z40" s="2"/>
      <c r="AA40" s="2"/>
      <c r="AB40" s="2"/>
      <c r="AC40" s="2"/>
      <c r="AD40" s="2"/>
      <c r="AE40" s="25"/>
      <c r="AF40" s="2"/>
      <c r="AG40" s="2"/>
      <c r="AH40" s="2"/>
      <c r="AI40" s="2"/>
      <c r="AJ40" s="2"/>
    </row>
    <row r="41" spans="1:36">
      <c r="A41" s="2"/>
      <c r="B41" s="26" t="s">
        <v>29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>
      <c r="A42" s="2"/>
      <c r="B42" s="34" t="str">
        <f>_xlfn.XLOOKUP(MAX(AH24:AH36),AH24:AH36,B24:B36)</f>
        <v>d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>
      <c r="A44" s="2"/>
      <c r="B44" s="26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>
      <c r="A45" s="2"/>
      <c r="B45" s="34" t="str">
        <f>_xlfn.XLOOKUP(MIN(AH24:AH36),AH24:AH36,B24:B36)</f>
        <v>m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mergeCells count="11">
    <mergeCell ref="AH20:AI23"/>
    <mergeCell ref="B2:B3"/>
    <mergeCell ref="AD3:AF3"/>
    <mergeCell ref="AD4:AF4"/>
    <mergeCell ref="AD5:AF5"/>
    <mergeCell ref="B20:B23"/>
    <mergeCell ref="C20:I20"/>
    <mergeCell ref="J20:P20"/>
    <mergeCell ref="Q20:W20"/>
    <mergeCell ref="X20:AD20"/>
    <mergeCell ref="AE20:AG20"/>
  </mergeCells>
  <conditionalFormatting sqref="AI24:AI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{79930604-F85C-402F-9C0F-DD3DE206D377}</x14:id>
        </ext>
      </extLst>
    </cfRule>
  </conditionalFormatting>
  <conditionalFormatting sqref="AI24:AI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{9F5B62BB-246B-410E-8AED-581A0E772176}</x14:id>
        </ext>
      </extLst>
    </cfRule>
  </conditionalFormatting>
  <conditionalFormatting sqref="AI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{3EE2FF76-ADE8-43CD-94F2-E92B4F6AECEF}</x14:id>
        </ext>
      </extLst>
    </cfRule>
  </conditionalFormatting>
  <conditionalFormatting sqref="AI25:AI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{5E05CFD5-1CF2-4412-8896-E6D9E2AD55D0}</x14:id>
        </ext>
      </extLst>
    </cfRule>
  </conditionalFormatting>
  <dataValidations count="1">
    <dataValidation type="custom" allowBlank="1" showInputMessage="1" showErrorMessage="1" sqref="H7" xr:uid="{CBFCC0FE-F9A6-44DC-9FA7-7639E63352ED}">
      <formula1>H7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930604-F85C-402F-9C0F-DD3DE206D3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9F5B62BB-246B-410E-8AED-581A0E7721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AI24:AI36</xm:sqref>
        </x14:conditionalFormatting>
        <x14:conditionalFormatting xmlns:xm="http://schemas.microsoft.com/office/excel/2006/main">
          <x14:cfRule type="dataBar" id="{3EE2FF76-ADE8-43CD-94F2-E92B4F6AEC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5E05CFD5-1CF2-4412-8896-E6D9E2AD55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AI25:AI36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A6EDB4-5CC3-43FB-8368-E3C87B01CF43}">
          <x14:formula1>
            <xm:f>Sheet2!$E$8:$E$20</xm:f>
          </x14:formula1>
          <xm:sqref>B2:B4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17D2-8C48-46D0-8E70-A0EB7FD44FBC}">
  <sheetPr codeName="Sheet2"/>
  <dimension ref="A2:AZ23"/>
  <sheetViews>
    <sheetView topLeftCell="J11" workbookViewId="0">
      <selection activeCell="S12" sqref="S12:T23"/>
    </sheetView>
  </sheetViews>
  <sheetFormatPr defaultRowHeight="14.45"/>
  <cols>
    <col min="1" max="1" width="11.140625" bestFit="1" customWidth="1"/>
    <col min="2" max="2" width="10.28515625" bestFit="1" customWidth="1"/>
    <col min="3" max="3" width="8.7109375" bestFit="1" customWidth="1"/>
    <col min="4" max="4" width="9.28515625" bestFit="1" customWidth="1"/>
    <col min="5" max="5" width="10.42578125" bestFit="1" customWidth="1"/>
    <col min="11" max="11" width="36.5703125" bestFit="1" customWidth="1"/>
    <col min="13" max="13" width="9.85546875" bestFit="1" customWidth="1"/>
    <col min="17" max="17" width="17.140625" bestFit="1" customWidth="1"/>
    <col min="19" max="19" width="10.42578125" bestFit="1" customWidth="1"/>
    <col min="20" max="20" width="36.5703125" bestFit="1" customWidth="1"/>
    <col min="21" max="21" width="4.7109375" bestFit="1" customWidth="1"/>
    <col min="22" max="22" width="4.85546875" bestFit="1" customWidth="1"/>
    <col min="28" max="28" width="9.85546875" bestFit="1" customWidth="1"/>
  </cols>
  <sheetData>
    <row r="2" spans="1:52" ht="15">
      <c r="B2" t="s">
        <v>1</v>
      </c>
      <c r="C2" t="s">
        <v>31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</row>
    <row r="3" spans="1:52" ht="15">
      <c r="A3" t="s">
        <v>43</v>
      </c>
      <c r="B3" s="62">
        <f>DATE($C$7,MONTH(1&amp;DECEMBER!B$2),1)</f>
        <v>46357</v>
      </c>
    </row>
    <row r="4" spans="1:52" ht="15">
      <c r="A4" t="s">
        <v>44</v>
      </c>
      <c r="B4" s="62">
        <f>DATE($C$7,MONTH(1&amp;NOVEMBER!B$2),1)</f>
        <v>46327</v>
      </c>
      <c r="Q4" t="s">
        <v>1</v>
      </c>
      <c r="R4" t="s">
        <v>31</v>
      </c>
      <c r="S4" t="s">
        <v>33</v>
      </c>
      <c r="T4" t="s">
        <v>34</v>
      </c>
      <c r="U4" t="s">
        <v>35</v>
      </c>
      <c r="V4" t="s">
        <v>36</v>
      </c>
      <c r="W4" t="s">
        <v>37</v>
      </c>
      <c r="X4" t="s">
        <v>38</v>
      </c>
      <c r="Y4" t="s">
        <v>39</v>
      </c>
      <c r="Z4" t="s">
        <v>40</v>
      </c>
      <c r="AA4" t="s">
        <v>41</v>
      </c>
      <c r="AB4" t="s">
        <v>42</v>
      </c>
    </row>
    <row r="5" spans="1:52" ht="15">
      <c r="A5" t="s">
        <v>45</v>
      </c>
      <c r="B5" s="62">
        <f>DATE($C$7,MONTH(1&amp;OCTOBER!B$2),1)</f>
        <v>46296</v>
      </c>
      <c r="C5" s="75" t="s">
        <v>31</v>
      </c>
      <c r="D5" s="75"/>
      <c r="G5" t="s">
        <v>33</v>
      </c>
      <c r="H5" t="s">
        <v>31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52" ht="15">
      <c r="A6" t="s">
        <v>46</v>
      </c>
      <c r="B6" s="62">
        <f>DATE($C$7,MONTH(1&amp;SEPTEMBER!B$2),1)</f>
        <v>46266</v>
      </c>
      <c r="C6" s="76">
        <f>DATE($C$7,MONTH(1&amp;'FEBRUARY(OR)'!B$2),1)</f>
        <v>46054</v>
      </c>
      <c r="D6" s="75" t="s">
        <v>47</v>
      </c>
      <c r="G6">
        <v>1</v>
      </c>
      <c r="H6" s="1" t="b">
        <v>1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Q6" t="str">
        <f>IFERROR(INDEX($Q4:$AB4,MATCH($C$5,$Q$4:$AB$4,0)), "")</f>
        <v>February</v>
      </c>
    </row>
    <row r="7" spans="1:52" ht="15">
      <c r="A7" t="s">
        <v>48</v>
      </c>
      <c r="B7" s="62">
        <f>DATE($C$7,MONTH(1&amp;AUGUST!B$2),1)</f>
        <v>46235</v>
      </c>
      <c r="C7" s="75">
        <v>2026</v>
      </c>
      <c r="D7" s="75"/>
      <c r="G7">
        <v>2</v>
      </c>
      <c r="H7" s="1" t="b">
        <v>1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  <c r="N7" s="1" t="b">
        <v>0</v>
      </c>
      <c r="Q7" s="1" t="b">
        <v>0</v>
      </c>
    </row>
    <row r="8" spans="1:52" ht="15">
      <c r="A8" t="s">
        <v>49</v>
      </c>
      <c r="B8" s="62">
        <f>DATE($C$7,MONTH(1&amp;JULY!B$2),1)</f>
        <v>46204</v>
      </c>
      <c r="E8" s="70" t="s">
        <v>50</v>
      </c>
      <c r="G8">
        <v>3</v>
      </c>
      <c r="H8" s="1" t="b">
        <v>1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1</v>
      </c>
      <c r="N8" s="1" t="b">
        <v>1</v>
      </c>
      <c r="Q8" s="1" t="b">
        <v>0</v>
      </c>
      <c r="U8" t="str">
        <f>TEXT(C6,"ddd")</f>
        <v>Sun</v>
      </c>
      <c r="V8" t="str">
        <f>TEXT('FEBRUARY(OR)'!D21,"DDD")</f>
        <v>Mon</v>
      </c>
      <c r="W8" t="str">
        <f>TEXT('FEBRUARY(OR)'!E21,"DDD")</f>
        <v>Tue</v>
      </c>
      <c r="X8" t="str">
        <f>TEXT('FEBRUARY(OR)'!F21,"DDD")</f>
        <v>Wed</v>
      </c>
      <c r="Y8" t="str">
        <f>TEXT('FEBRUARY(OR)'!G21,"DDD")</f>
        <v>Thu</v>
      </c>
      <c r="Z8" t="str">
        <f>TEXT('FEBRUARY(OR)'!H21,"DDD")</f>
        <v>Fri</v>
      </c>
      <c r="AA8" t="str">
        <f>TEXT('FEBRUARY(OR)'!I21,"DDD")</f>
        <v>Sat</v>
      </c>
      <c r="AC8" t="str">
        <f>TEXT('FEBRUARY(OR)'!J21,"DDD")</f>
        <v>Sun</v>
      </c>
      <c r="AD8" t="str">
        <f>TEXT('FEBRUARY(OR)'!K21,"DDD")</f>
        <v>Mon</v>
      </c>
      <c r="AE8" t="str">
        <f>TEXT('FEBRUARY(OR)'!L21,"DDD")</f>
        <v>Tue</v>
      </c>
      <c r="AF8" t="str">
        <f>TEXT('FEBRUARY(OR)'!M21,"DDD")</f>
        <v>Wed</v>
      </c>
      <c r="AG8" t="str">
        <f>TEXT('FEBRUARY(OR)'!N21,"DDD")</f>
        <v>Thu</v>
      </c>
      <c r="AH8" t="str">
        <f>TEXT('FEBRUARY(OR)'!O21,"DDD")</f>
        <v>Fri</v>
      </c>
      <c r="AI8" t="str">
        <f>TEXT('FEBRUARY(OR)'!P21,"DDD")</f>
        <v>Sat</v>
      </c>
      <c r="AJ8" t="str">
        <f>TEXT('FEBRUARY(OR)'!Q21,"DDD")</f>
        <v>Sun</v>
      </c>
      <c r="AK8" t="str">
        <f>TEXT('FEBRUARY(OR)'!R21,"DDD")</f>
        <v>Mon</v>
      </c>
      <c r="AL8" t="str">
        <f>TEXT('FEBRUARY(OR)'!S21,"DDD")</f>
        <v>Tue</v>
      </c>
      <c r="AM8" t="str">
        <f>TEXT('FEBRUARY(OR)'!T21,"DDD")</f>
        <v>Wed</v>
      </c>
      <c r="AN8" t="str">
        <f>TEXT('FEBRUARY(OR)'!U21,"DDD")</f>
        <v>Thu</v>
      </c>
      <c r="AO8" t="str">
        <f>TEXT('FEBRUARY(OR)'!V21,"DDD")</f>
        <v>Fri</v>
      </c>
      <c r="AP8" t="str">
        <f>TEXT('FEBRUARY(OR)'!W21,"DDD")</f>
        <v>Sat</v>
      </c>
      <c r="AQ8" t="str">
        <f>TEXT('FEBRUARY(OR)'!X21,"DDD")</f>
        <v>Sun</v>
      </c>
      <c r="AR8" t="str">
        <f>TEXT('FEBRUARY(OR)'!Y21,"DDD")</f>
        <v>Mon</v>
      </c>
      <c r="AS8" t="str">
        <f>TEXT('FEBRUARY(OR)'!Z21,"DDD")</f>
        <v>Tue</v>
      </c>
      <c r="AT8" t="str">
        <f>TEXT('FEBRUARY(OR)'!AA21,"DDD")</f>
        <v>Wed</v>
      </c>
      <c r="AU8" t="str">
        <f>TEXT('FEBRUARY(OR)'!AB21,"DDD")</f>
        <v>Thu</v>
      </c>
      <c r="AV8" t="str">
        <f>TEXT('FEBRUARY(OR)'!AC21,"DDD")</f>
        <v>Fri</v>
      </c>
      <c r="AW8" t="str">
        <f>TEXT('FEBRUARY(OR)'!AD21,"DDD")</f>
        <v>Sat</v>
      </c>
      <c r="AX8" t="str">
        <f>TEXT('FEBRUARY(OR)'!AE21,"DDD")</f>
        <v>Sun</v>
      </c>
      <c r="AY8" t="str">
        <f>TEXT('FEBRUARY(OR)'!AF21,"DDD")</f>
        <v>Mon</v>
      </c>
      <c r="AZ8" t="str">
        <f>TEXT('FEBRUARY(OR)'!AG21,"DDD")</f>
        <v>Tue</v>
      </c>
    </row>
    <row r="9" spans="1:52" ht="15">
      <c r="A9" t="s">
        <v>51</v>
      </c>
      <c r="B9" s="62">
        <f>DATE($C$7,MONTH(1&amp;MARCH!B$2),1)</f>
        <v>46082</v>
      </c>
      <c r="D9" s="62"/>
      <c r="E9" s="71" t="s">
        <v>1</v>
      </c>
      <c r="G9">
        <v>4</v>
      </c>
      <c r="H9" s="1" t="b">
        <v>1</v>
      </c>
      <c r="I9" s="1" t="b">
        <v>1</v>
      </c>
      <c r="J9" s="1" t="b">
        <v>0</v>
      </c>
      <c r="K9" s="1" t="b">
        <v>1</v>
      </c>
      <c r="L9" s="1" t="b">
        <v>0</v>
      </c>
      <c r="M9" s="1" t="b">
        <v>0</v>
      </c>
      <c r="N9" s="1" t="b">
        <v>0</v>
      </c>
      <c r="Q9" s="1" t="b">
        <v>1</v>
      </c>
      <c r="U9" s="60">
        <f>COUNTIF('FEBRUARY(OR)'!C24:C36,"TRUE")</f>
        <v>1</v>
      </c>
      <c r="V9" s="60">
        <f>COUNTIF('FEBRUARY(OR)'!D24:D36,"TRUE")</f>
        <v>8</v>
      </c>
      <c r="W9" s="60">
        <f>COUNTIF('FEBRUARY(OR)'!E24:E36,"TRUE")</f>
        <v>7</v>
      </c>
      <c r="X9" s="60">
        <f>COUNTIF('FEBRUARY(OR)'!F24:F36,"TRUE")</f>
        <v>5</v>
      </c>
      <c r="Y9" s="60">
        <f>COUNTIF('FEBRUARY(OR)'!G24:G36,"TRUE")</f>
        <v>6</v>
      </c>
      <c r="Z9" s="60">
        <f>COUNTIF('FEBRUARY(OR)'!H24:H36,"TRUE")</f>
        <v>4</v>
      </c>
      <c r="AA9" s="60">
        <f>COUNTIF('FEBRUARY(OR)'!I24:I36,"TRUE")</f>
        <v>13</v>
      </c>
      <c r="AC9" s="60">
        <f>COUNTIF('FEBRUARY(OR)'!J24:J36,"TRUE")</f>
        <v>12</v>
      </c>
      <c r="AD9" s="60">
        <f>COUNTIF('FEBRUARY(OR)'!K24:K36,"TRUE")</f>
        <v>13</v>
      </c>
      <c r="AE9" s="60">
        <f>COUNTIF('FEBRUARY(OR)'!L24:L36,"TRUE")</f>
        <v>13</v>
      </c>
      <c r="AF9" s="60">
        <f>COUNTIF('FEBRUARY(OR)'!M24:M36,"TRUE")</f>
        <v>13</v>
      </c>
      <c r="AG9" s="60">
        <f>COUNTIF('FEBRUARY(OR)'!N24:N36,"TRUE")</f>
        <v>10</v>
      </c>
      <c r="AH9" s="60">
        <f>COUNTIF('FEBRUARY(OR)'!O24:O36,"TRUE")</f>
        <v>12</v>
      </c>
      <c r="AI9" s="60">
        <f>COUNTIF('FEBRUARY(OR)'!P24:P36,"TRUE")</f>
        <v>8</v>
      </c>
      <c r="AJ9" s="60">
        <f>COUNTIF('FEBRUARY(OR)'!Q24:Q36,"TRUE")</f>
        <v>13</v>
      </c>
      <c r="AK9" s="60">
        <f>COUNTIF('FEBRUARY(OR)'!R24:R36,"TRUE")</f>
        <v>13</v>
      </c>
      <c r="AL9" s="60">
        <f>COUNTIF('FEBRUARY(OR)'!S24:S36,"TRUE")</f>
        <v>13</v>
      </c>
      <c r="AM9" s="60">
        <f>COUNTIF('FEBRUARY(OR)'!T24:T36,"TRUE")</f>
        <v>13</v>
      </c>
      <c r="AN9" s="60">
        <f>COUNTIF('FEBRUARY(OR)'!U24:U36,"TRUE")</f>
        <v>13</v>
      </c>
      <c r="AO9" s="60">
        <f>COUNTIF('FEBRUARY(OR)'!V24:V36,"TRUE")</f>
        <v>13</v>
      </c>
      <c r="AP9" s="60">
        <f>COUNTIF('FEBRUARY(OR)'!W24:W36,"TRUE")</f>
        <v>13</v>
      </c>
      <c r="AQ9" s="60">
        <f>COUNTIF('FEBRUARY(OR)'!X24:X36,"TRUE")</f>
        <v>13</v>
      </c>
      <c r="AR9" s="60">
        <f>COUNTIF('FEBRUARY(OR)'!Y24:Y36,"TRUE")</f>
        <v>12</v>
      </c>
      <c r="AS9" s="60">
        <f>COUNTIF('FEBRUARY(OR)'!Z24:Z36,"TRUE")</f>
        <v>13</v>
      </c>
      <c r="AT9" s="60">
        <f>COUNTIF('FEBRUARY(OR)'!AA24:AA36,"TRUE")</f>
        <v>12</v>
      </c>
      <c r="AU9" s="60">
        <f>COUNTIF('FEBRUARY(OR)'!AB24:AB36,"TRUE")</f>
        <v>13</v>
      </c>
      <c r="AV9" s="60">
        <f>COUNTIF('FEBRUARY(OR)'!AC24:AC36,"TRUE")</f>
        <v>13</v>
      </c>
      <c r="AW9" s="60">
        <f>COUNTIF('FEBRUARY(OR)'!AD24:AD36,"TRUE")</f>
        <v>13</v>
      </c>
      <c r="AX9" s="60">
        <f>COUNTIF('FEBRUARY(OR)'!AE24:AE36,"TRUE")</f>
        <v>13</v>
      </c>
      <c r="AY9" s="60">
        <f>COUNTIF('FEBRUARY(OR)'!AF24:AF36,"TRUE")</f>
        <v>12</v>
      </c>
      <c r="AZ9" s="60">
        <f>COUNTIF('FEBRUARY(OR)'!AG24:AG36,"TRUE")</f>
        <v>13</v>
      </c>
    </row>
    <row r="10" spans="1:52" ht="15">
      <c r="A10" t="s">
        <v>1</v>
      </c>
      <c r="B10" s="62">
        <f>DATE($C$7,MONTH(1&amp;JANUARY!B$2),1)</f>
        <v>46023</v>
      </c>
      <c r="E10" s="71" t="s">
        <v>31</v>
      </c>
      <c r="G10">
        <v>5</v>
      </c>
      <c r="H10" s="1" t="b">
        <v>0</v>
      </c>
      <c r="I10" s="1" t="b">
        <v>0</v>
      </c>
      <c r="J10" s="1" t="b">
        <v>1</v>
      </c>
      <c r="K10" s="1" t="b">
        <v>0</v>
      </c>
      <c r="L10" s="1" t="b">
        <v>1</v>
      </c>
      <c r="M10" s="1" t="b">
        <v>0</v>
      </c>
      <c r="N10" s="1" t="b">
        <v>0</v>
      </c>
      <c r="Q10" s="1" t="b">
        <v>0</v>
      </c>
    </row>
    <row r="11" spans="1:52" ht="15">
      <c r="A11" t="s">
        <v>52</v>
      </c>
      <c r="B11" s="62">
        <f>DATE($C$7,MONTH(1&amp;APRIL!B$2),1)</f>
        <v>46113</v>
      </c>
      <c r="E11" s="71" t="s">
        <v>33</v>
      </c>
      <c r="G11">
        <v>6</v>
      </c>
      <c r="H11" s="1" t="b">
        <v>0</v>
      </c>
      <c r="I11" s="1" t="b">
        <v>0</v>
      </c>
      <c r="J11" s="1" t="b">
        <v>0</v>
      </c>
      <c r="K11" s="1" t="b">
        <v>1</v>
      </c>
      <c r="L11" s="1" t="b">
        <v>0</v>
      </c>
      <c r="M11" s="1" t="b">
        <v>0</v>
      </c>
      <c r="N11" s="1" t="b">
        <v>0</v>
      </c>
      <c r="Q11" s="1" t="b">
        <v>0</v>
      </c>
      <c r="AR11" s="60"/>
    </row>
    <row r="12" spans="1:52" ht="15">
      <c r="A12" t="s">
        <v>53</v>
      </c>
      <c r="B12" s="62">
        <f>DATE($C$7,MONTH(1&amp;MAY!B$2),1)</f>
        <v>46143</v>
      </c>
      <c r="E12" s="71" t="s">
        <v>34</v>
      </c>
      <c r="G12">
        <v>7</v>
      </c>
      <c r="H12" s="1" t="b">
        <v>0</v>
      </c>
      <c r="I12" s="1" t="b">
        <v>0</v>
      </c>
      <c r="J12" s="1" t="b">
        <v>0</v>
      </c>
      <c r="K12" s="1" t="b">
        <v>1</v>
      </c>
      <c r="L12" s="1" t="b">
        <v>1</v>
      </c>
      <c r="M12" s="1" t="b">
        <v>1</v>
      </c>
      <c r="N12" s="1" t="b">
        <v>1</v>
      </c>
      <c r="Q12" s="1" t="b">
        <v>0</v>
      </c>
      <c r="S12" t="s">
        <v>1</v>
      </c>
      <c r="T12">
        <f>COUNTIF(JANUARY!C24:AG36,"TRUE")</f>
        <v>349</v>
      </c>
    </row>
    <row r="13" spans="1:52" ht="15">
      <c r="A13" t="s">
        <v>54</v>
      </c>
      <c r="B13" s="62">
        <f>DATE($C$7,MONTH(1&amp;JUNE!B$2),1)</f>
        <v>46174</v>
      </c>
      <c r="E13" s="71" t="s">
        <v>35</v>
      </c>
      <c r="G13">
        <v>8</v>
      </c>
      <c r="H13" s="1" t="b">
        <v>0</v>
      </c>
      <c r="I13" s="1" t="b">
        <v>0</v>
      </c>
      <c r="J13" s="1" t="b">
        <v>1</v>
      </c>
      <c r="K13" s="1" t="b">
        <v>1</v>
      </c>
      <c r="L13" s="1" t="b">
        <v>0</v>
      </c>
      <c r="M13" s="1" t="b">
        <v>0</v>
      </c>
      <c r="N13" s="1" t="b">
        <v>0</v>
      </c>
      <c r="Q13" s="1" t="b">
        <v>0</v>
      </c>
      <c r="S13" t="s">
        <v>31</v>
      </c>
      <c r="T13" s="80">
        <f>COUNTIF('FEBRUARY(OR)'!C24:AG36,"TRUE")</f>
        <v>343</v>
      </c>
    </row>
    <row r="14" spans="1:52" ht="15">
      <c r="B14" s="63"/>
      <c r="C14" s="64"/>
      <c r="E14" s="71" t="s">
        <v>36</v>
      </c>
      <c r="G14">
        <v>9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  <c r="N14" s="1" t="b">
        <v>1</v>
      </c>
      <c r="Q14" s="1" t="b">
        <v>0</v>
      </c>
      <c r="S14" t="s">
        <v>33</v>
      </c>
      <c r="T14">
        <f>COUNTIF(MARCH!C24:AG36,"TRUE")</f>
        <v>341</v>
      </c>
    </row>
    <row r="15" spans="1:52" ht="15">
      <c r="B15" s="65" t="s">
        <v>7</v>
      </c>
      <c r="C15" s="66">
        <f>SUM('FEBRUARY(OR)'!C38:I38)/COUNTA('FEBRUARY(OR)'!C24:I36)</f>
        <v>0.48351648351648352</v>
      </c>
      <c r="E15" s="71" t="s">
        <v>37</v>
      </c>
      <c r="G15">
        <v>10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  <c r="N15" s="1" t="b">
        <v>0</v>
      </c>
      <c r="Q15" s="1" t="b">
        <v>0</v>
      </c>
      <c r="S15" t="s">
        <v>34</v>
      </c>
      <c r="T15">
        <f>COUNTIF(APRIL!C24:AG36,"TRUE")</f>
        <v>352</v>
      </c>
    </row>
    <row r="16" spans="1:52" ht="15">
      <c r="B16" s="65" t="s">
        <v>8</v>
      </c>
      <c r="C16" s="67">
        <f>SUM('FEBRUARY(OR)'!J38:P38)/COUNTA('FEBRUARY(OR)'!J24:P36)</f>
        <v>0.89010989010989006</v>
      </c>
      <c r="E16" s="71" t="s">
        <v>38</v>
      </c>
      <c r="Q16" s="1" t="b">
        <v>1</v>
      </c>
      <c r="S16" t="s">
        <v>35</v>
      </c>
      <c r="T16">
        <f>COUNTIF(MAY!C24:AG36,"TRUE")</f>
        <v>352</v>
      </c>
    </row>
    <row r="17" spans="2:20" ht="15">
      <c r="B17" s="65" t="s">
        <v>9</v>
      </c>
      <c r="C17" s="67">
        <f>SUM('FEBRUARY(OR)'!Q38:W38)/COUNTA('FEBRUARY(OR)'!Q24:W36)</f>
        <v>1</v>
      </c>
      <c r="E17" s="71" t="s">
        <v>39</v>
      </c>
      <c r="Q17" s="1" t="b">
        <v>0</v>
      </c>
      <c r="S17" t="s">
        <v>36</v>
      </c>
      <c r="T17">
        <f>COUNTIF(JUNE!C24:AG36,"TRUE")</f>
        <v>352</v>
      </c>
    </row>
    <row r="18" spans="2:20" ht="15">
      <c r="B18" s="65" t="s">
        <v>10</v>
      </c>
      <c r="C18" s="67">
        <f>SUM('FEBRUARY(OR)'!X38:AD38)/COUNTA('FEBRUARY(OR)'!X24:AD36)</f>
        <v>0.97802197802197799</v>
      </c>
      <c r="E18" s="71" t="s">
        <v>40</v>
      </c>
      <c r="G18" t="s">
        <v>33</v>
      </c>
      <c r="H18" t="s">
        <v>55</v>
      </c>
      <c r="K18" s="77" t="str">
        <f>HYPERLINK("#'J20'JANUARY!A1","JANUARY")</f>
        <v>JANUARY</v>
      </c>
      <c r="Q18" s="1" t="b">
        <v>1</v>
      </c>
      <c r="S18" t="s">
        <v>37</v>
      </c>
      <c r="T18">
        <f>COUNTIF(JULY!C24:AG36,"TRUE")</f>
        <v>352</v>
      </c>
    </row>
    <row r="19" spans="2:20" ht="15">
      <c r="B19" s="68" t="s">
        <v>11</v>
      </c>
      <c r="C19" s="69">
        <f>SUM('FEBRUARY(OR)'!AE38:AG38)/COUNTA('FEBRUARY(OR)'!AE24:AG36)</f>
        <v>0.97435897435897434</v>
      </c>
      <c r="E19" s="71" t="s">
        <v>41</v>
      </c>
      <c r="G19" s="61" t="str">
        <f>HYPERLINK("#'JANUARY'!A1","Januay")</f>
        <v>Januay</v>
      </c>
      <c r="Q19" s="1" t="b">
        <v>0</v>
      </c>
      <c r="S19" t="s">
        <v>38</v>
      </c>
      <c r="T19">
        <f>COUNTIF(AUGUST!C24:AG36,"TRUE")</f>
        <v>352</v>
      </c>
    </row>
    <row r="20" spans="2:20" ht="15">
      <c r="E20" s="72" t="s">
        <v>42</v>
      </c>
      <c r="G20" s="61" t="str">
        <f>HYPERLINK("#'FEBRUARY'!A1","February")</f>
        <v>February</v>
      </c>
      <c r="S20" t="s">
        <v>39</v>
      </c>
      <c r="T20">
        <f>COUNTIF(SEPTEMBER!C24:AG36,"TRUE")</f>
        <v>352</v>
      </c>
    </row>
    <row r="21" spans="2:20" ht="15">
      <c r="G21" s="61" t="str">
        <f>HYPERLINK("#'MARCH'!A1","March")</f>
        <v>March</v>
      </c>
      <c r="I21" s="61" t="str">
        <f>HYPERLINK("#'Sheet4'!A1","Janu")</f>
        <v>Janu</v>
      </c>
      <c r="S21" t="s">
        <v>40</v>
      </c>
      <c r="T21">
        <f>COUNTIF(OCTOBER!C24:AG36,"TRUE")</f>
        <v>352</v>
      </c>
    </row>
    <row r="22" spans="2:20" ht="15">
      <c r="S22" t="s">
        <v>41</v>
      </c>
      <c r="T22">
        <f>COUNTIF(NOVEMBER!C24:AG36,"TRUE")</f>
        <v>352</v>
      </c>
    </row>
    <row r="23" spans="2:20" ht="15">
      <c r="S23" t="s">
        <v>42</v>
      </c>
      <c r="T23">
        <f>COUNTIF(DECEMBER!C24:AG36,"TRUE")</f>
        <v>352</v>
      </c>
    </row>
  </sheetData>
  <phoneticPr fontId="1" type="noConversion"/>
  <dataValidations count="3">
    <dataValidation type="list" allowBlank="1" showInputMessage="1" showErrorMessage="1" sqref="G18:G21" xr:uid="{992B0A0E-9253-4998-A0D3-1073BA7F8BA1}">
      <formula1>$G$18:$G$21</formula1>
    </dataValidation>
    <dataValidation type="list" allowBlank="1" showInputMessage="1" showErrorMessage="1" sqref="H18" xr:uid="{FEB962BB-1766-4243-8ADC-370F89660F97}">
      <formula1>$G$19:$G$21</formula1>
    </dataValidation>
    <dataValidation type="list" allowBlank="1" showInputMessage="1" showErrorMessage="1" sqref="C5 G5:N15" xr:uid="{00208B61-28CD-4924-B7AB-337970B0760D}">
      <formula1>$E$8:$E$20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JHILIK DEY</dc:creator>
  <cp:keywords/>
  <dc:description/>
  <cp:lastModifiedBy>JHILIK DEY</cp:lastModifiedBy>
  <cp:revision/>
  <dcterms:created xsi:type="dcterms:W3CDTF">2026-01-09T15:03:34Z</dcterms:created>
  <dcterms:modified xsi:type="dcterms:W3CDTF">2026-01-15T08:39:00Z</dcterms:modified>
  <cp:category/>
  <cp:contentStatus/>
</cp:coreProperties>
</file>